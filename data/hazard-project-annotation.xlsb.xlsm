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oi_\hazard-project\data\"/>
    </mc:Choice>
  </mc:AlternateContent>
  <xr:revisionPtr revIDLastSave="0" documentId="13_ncr:1_{74315A3A-B184-4837-BA1A-427687CDDA8E}" xr6:coauthVersionLast="47" xr6:coauthVersionMax="47" xr10:uidLastSave="{00000000-0000-0000-0000-000000000000}"/>
  <bookViews>
    <workbookView xWindow="-108" yWindow="-108" windowWidth="23256" windowHeight="13176" xr2:uid="{5097547F-284F-CA49-A95A-E31EC5A0FAFA}"/>
  </bookViews>
  <sheets>
    <sheet name="Traffic Domai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38" i="1" l="1"/>
  <c r="B1637" i="1"/>
  <c r="B1639" i="1"/>
  <c r="B1640" i="1"/>
  <c r="B1641" i="1"/>
  <c r="B222" i="1"/>
  <c r="B192" i="1"/>
  <c r="B172" i="1"/>
  <c r="B137" i="1"/>
  <c r="B127" i="1"/>
  <c r="B92" i="1"/>
  <c r="B2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6" i="1"/>
  <c r="B135" i="1"/>
  <c r="B134" i="1"/>
  <c r="B133" i="1"/>
  <c r="B132" i="1"/>
  <c r="B131" i="1"/>
  <c r="B130" i="1"/>
  <c r="B129" i="1"/>
  <c r="B128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<sst xmlns="http://schemas.openxmlformats.org/spreadsheetml/2006/main" count="12820" uniqueCount="27">
  <si>
    <t>Domain</t>
  </si>
  <si>
    <t>Image Link</t>
  </si>
  <si>
    <t>Rule</t>
  </si>
  <si>
    <t>Label</t>
  </si>
  <si>
    <t>Traffic</t>
  </si>
  <si>
    <t>Driving Distraction</t>
  </si>
  <si>
    <t>Pedestrian Crossing</t>
  </si>
  <si>
    <t>Road Condition</t>
  </si>
  <si>
    <t>Traffic Rules</t>
  </si>
  <si>
    <t>Vehicle Load</t>
  </si>
  <si>
    <t>Violated</t>
  </si>
  <si>
    <t>Complied</t>
  </si>
  <si>
    <t>Not Applicable</t>
  </si>
  <si>
    <t>Link</t>
  </si>
  <si>
    <t>Compiled</t>
  </si>
  <si>
    <t>Driving_Distraction_0</t>
  </si>
  <si>
    <t>File</t>
  </si>
  <si>
    <t>Driving_Distraction_1</t>
  </si>
  <si>
    <t>Pedestrian_Crossing_0</t>
  </si>
  <si>
    <t>Pedestrian_Crossing_1</t>
  </si>
  <si>
    <t>Road_Condition_0</t>
  </si>
  <si>
    <t>Road_Condition_1</t>
  </si>
  <si>
    <t>Compled</t>
  </si>
  <si>
    <t>Traffic_Rules_0</t>
  </si>
  <si>
    <t>Traffic_Rules_1</t>
  </si>
  <si>
    <t>Vehicle_Load_0</t>
  </si>
  <si>
    <t>Vehicle_Load_1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</si>
</sst>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1" fillId="0" borderId="0" xfId="1" applyBorder="1"/>
    <xf numFmtId="0" fontId="2" fillId="2" borderId="0" xfId="0" applyFont="1" applyFill="1" applyAlignment="1">
      <alignment horizontal="center" vertical="center"/>
    </xf>
    <xf numFmtId="0" fontId="1" fillId="0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encrypted-tbn0.gstatic.com/images?q=tbn:ANd9GcSR6-m078yd3P3x3WhP8eer3jUXlhmtIStk4nxEwy7omlXGF89KiST04t3GdgmvnxV6iUE&amp;usqp=CAU" TargetMode="External"/><Relationship Id="rId170" Type="http://schemas.openxmlformats.org/officeDocument/2006/relationships/hyperlink" Target="https://media.istockphoto.com/id/2024952271/photo/asian-lady-holding-hamburger-and-french-fries-to-eat-in-car-dangerous-and-risk-an-accident.webp?s=2048x2048&amp;w=is&amp;k=20&amp;c=bw7NsEOEORfD3GSkyGj8xugiS-xpk5BXFyh-2TyOGrg=" TargetMode="External"/><Relationship Id="rId987" Type="http://schemas.openxmlformats.org/officeDocument/2006/relationships/hyperlink" Target="https://st.depositphotos.com/1066342/2004/i/450/depositphotos_20048743-stock-photo-melbourne-by-the-fast-track.jpg" TargetMode="External"/><Relationship Id="rId847" Type="http://schemas.openxmlformats.org/officeDocument/2006/relationships/hyperlink" Target="https://st5.depositphotos.com/6194606/81701/i/450/depositphotos_817010644-stock-photo-perth-australia-april-2025-mitchell.jpg" TargetMode="External"/><Relationship Id="rId1477" Type="http://schemas.openxmlformats.org/officeDocument/2006/relationships/hyperlink" Target="https://images.unsplash.com/photo-1689049844247-667754e34cda?w=500&amp;auto=format&amp;fit=crop&amp;q=60&amp;ixlib=rb-4.1.0&amp;ixid=M3wxMjA3fDB8MHxzZWFyY2h8MTV8fGNhciUyMGF0JTIwcmVkJTIwbGlnaHR8ZW58MHx8MHx8fDA%3D" TargetMode="External"/><Relationship Id="rId1684" Type="http://schemas.openxmlformats.org/officeDocument/2006/relationships/hyperlink" Target="https://media.istockphoto.com/id/458969983/photo/dangerous-overtaking.jpg?s=612x612&amp;w=0&amp;k=20&amp;c=1Mzsl3pX9ybmCRyY41FxpbLhFbBWc-2eqv4p-1aJ--0=" TargetMode="External"/><Relationship Id="rId1891" Type="http://schemas.openxmlformats.org/officeDocument/2006/relationships/hyperlink" Target="https://plus.unsplash.com/premium_photo-1664695710271-3b7a08fb6d38?w=400&amp;auto=format&amp;fit=crop&amp;q=60&amp;ixlib=rb-4.1.0&amp;ixid=M3wxMjA3fDB8MHxwaG90by1yZWxhdGVkfDE2fHx8ZW58MHx8fHx8" TargetMode="External"/><Relationship Id="rId707" Type="http://schemas.openxmlformats.org/officeDocument/2006/relationships/hyperlink" Target="https://media.istockphoto.com/id/1181901428/photo/motivated-for-fitness.webp?b=1&amp;s=612x612&amp;w=0&amp;k=20&amp;c=QMrEKAdmVOs3ncJIkRnqQrg92br3Xq2uFutgToGkR80=" TargetMode="External"/><Relationship Id="rId914" Type="http://schemas.openxmlformats.org/officeDocument/2006/relationships/hyperlink" Target="https://media.istockphoto.com/id/2151065259/photo/a-view-along-high-street-northcote-from-an-area-called-the-westgarth-village-towards-ruckers.jpg?s=612x612&amp;w=0&amp;k=20&amp;c=5HT07wCCTtRj-V03Db8By3e85P2s4cMfgjfPzUM1-p4=" TargetMode="External"/><Relationship Id="rId1337" Type="http://schemas.openxmlformats.org/officeDocument/2006/relationships/hyperlink" Target="https://media.istockphoto.com/id/154919588/photo/road-and-flood.jpg?s=612x612&amp;w=0&amp;k=20&amp;c=q0Kiik8wDntv_P2sLL9Ic-r6yqF8um6ivzwZ-xW6rNc=" TargetMode="External"/><Relationship Id="rId1544" Type="http://schemas.openxmlformats.org/officeDocument/2006/relationships/hyperlink" Target="https://encrypted-tbn0.gstatic.com/images?q=tbn:ANd9GcT4WDq9AMHTE1Kgr6Gaih23w82YNwAomnxQKf7G9IadO_yhCKBpgChlsGcOaio6USeGX-k&amp;usqp=CAU" TargetMode="External"/><Relationship Id="rId1751" Type="http://schemas.openxmlformats.org/officeDocument/2006/relationships/hyperlink" Target="https://encrypted-tbn0.gstatic.com/images?q=tbn:ANd9GcTjQPsH0MV0sjDARVsVSyZY9neors9H7iCfU6Cp3KfSPdIbvCaYcSY6nenIYNJPAyHlCUU&amp;usqp=CAU" TargetMode="External"/><Relationship Id="rId43" Type="http://schemas.openxmlformats.org/officeDocument/2006/relationships/hyperlink" Target="https://st5.depositphotos.com/1192060/65935/i/380/depositphotos_659354892-stock-photo-woman-putting-lipstick-while-steering.jpg" TargetMode="External"/><Relationship Id="rId1404" Type="http://schemas.openxmlformats.org/officeDocument/2006/relationships/hyperlink" Target="https://c8.alamy.com/comp/W7P782/file-car-drivers-wait-to-give-way-to-pedestrians-on-a-crosswalk-in-beijing-china-9-july-2013-beijing-traffic-police-thursday-15-june-2017-be-W7P782.jpg" TargetMode="External"/><Relationship Id="rId1611" Type="http://schemas.openxmlformats.org/officeDocument/2006/relationships/hyperlink" Target="https://injurylawyer.com/wp-content/uploads/2019/01/shutterstock_1219713949-e1546541020647.jpg.webp" TargetMode="External"/><Relationship Id="rId497" Type="http://schemas.openxmlformats.org/officeDocument/2006/relationships/hyperlink" Target="https://media.istockphoto.com/id/653967962/photo/schoolboy-crossing-a-road-on-his-morning-way-to-school.jpg?s=612x612&amp;w=0&amp;k=20&amp;c=5OQ6Z1-YFLEARfGtnw_TH1R7kV9Xn9TihAStFEX3Bms=" TargetMode="External"/><Relationship Id="rId2178" Type="http://schemas.openxmlformats.org/officeDocument/2006/relationships/hyperlink" Target="https://terrysamui.wordpress.com/wp-content/uploads/2017/01/overloaded-driving-cars-motorcycles-vans-trucks-pick-ups-samui-thailand-funny-strange-unusual-18.jpg" TargetMode="External"/><Relationship Id="rId357" Type="http://schemas.openxmlformats.org/officeDocument/2006/relationships/hyperlink" Target="https://c8.alamy.com/comp/B55NHF/cars-failing-to-stop-at-a-pedestrian-crossing-B55NHF.jpg" TargetMode="External"/><Relationship Id="rId1194" Type="http://schemas.openxmlformats.org/officeDocument/2006/relationships/hyperlink" Target="https://media.istockphoto.com/id/930733334/photo/old-road-potholes-holes-outside-city-autumn-weather-hdr.jpg?s=612x612&amp;w=0&amp;k=20&amp;c=hjFYMud5QkAIMdIolTIUk42TKDp0_W3pW8F1rzFMAIo=" TargetMode="External"/><Relationship Id="rId2038" Type="http://schemas.openxmlformats.org/officeDocument/2006/relationships/hyperlink" Target="https://media.istockphoto.com/id/1282047643/photo/classic-big-rig-semi-truck-tractor-transporting-lumber-on-the-flat-bed-semi-trailer-moving-on.jpg?s=612x612&amp;w=0&amp;k=20&amp;c=vS4MX8uHpO3MGoGQRjW2dXjV0WIfcEIwo1uECc0hF54=" TargetMode="External"/><Relationship Id="rId217" Type="http://schemas.openxmlformats.org/officeDocument/2006/relationships/hyperlink" Target="https://st4.depositphotos.com/5675252/22612/i/380/depositphotos_226125066-stock-photo-man-eating-pizza-coffee-while.jpg" TargetMode="External"/><Relationship Id="rId564" Type="http://schemas.openxmlformats.org/officeDocument/2006/relationships/hyperlink" Target="https://media.istockphoto.com/id/930104342/photo/young-woman-looks-at-her-cellphone-and-does-not-pay-attention-to-traffic.jpg?s=612x612&amp;w=0&amp;k=20&amp;c=EykyKNFg5DrP_OmoSOgHfgn9RvCCJUx6y2DwrNhw8C8=" TargetMode="External"/><Relationship Id="rId771" Type="http://schemas.openxmlformats.org/officeDocument/2006/relationships/hyperlink" Target="https://encrypted-tbn0.gstatic.com/images?q=tbn:ANd9GcQYHOAtC8Mr4h7s_hlM4iFKmcTHq1ui6W9woj2wgWWKzPWqiX_PKVMfHYmVT2I8fr2wE8s&amp;usqp=CAU" TargetMode="External"/><Relationship Id="rId2245" Type="http://schemas.openxmlformats.org/officeDocument/2006/relationships/hyperlink" Target="https://st3.depositphotos.com/1184024/17751/i/450/depositphotos_177512610-stock-photo-caravan-with-bicycles-and-cars.jpg" TargetMode="External"/><Relationship Id="rId424" Type="http://schemas.openxmlformats.org/officeDocument/2006/relationships/hyperlink" Target="https://media.istockphoto.com/id/1373732934/photo/hipster-teenage-urban-lifestyle-music-students-go-to-class-or-to-a-concert-concept-of.jpg?s=612x612&amp;w=0&amp;k=20&amp;c=nDZVdpbMObNQZLXfZ3D61DYaRgnqmlYKjDeei9B_iHI=" TargetMode="External"/><Relationship Id="rId631" Type="http://schemas.openxmlformats.org/officeDocument/2006/relationships/hyperlink" Target="https://h7.alamy.com/comp/R7AAEA/jerusalem-israel-18052018-a-religious-jew-crosses-the-road-on-a-tramway-track-violation-of-traffic-rules-accident-R7AAEA.jpg" TargetMode="External"/><Relationship Id="rId1054" Type="http://schemas.openxmlformats.org/officeDocument/2006/relationships/hyperlink" Target="https://c8.alamy.com/comp/ARTWA5/flooded-road-traffic-cars-in-flood-waters-driving-in-flood-conditions-ARTWA5.jpg" TargetMode="External"/><Relationship Id="rId1261" Type="http://schemas.openxmlformats.org/officeDocument/2006/relationships/hyperlink" Target="https://media.istockphoto.com/id/173845298/photo/crash.jpg?s=612x612&amp;w=0&amp;k=20&amp;c=uLdLReLUkAFEOkCy7p8n5nq0OOjAwqdP8g3vpltp8EQ=" TargetMode="External"/><Relationship Id="rId2105" Type="http://schemas.openxmlformats.org/officeDocument/2006/relationships/hyperlink" Target="https://st4.depositphotos.com/22797156/24497/i/450/depositphotos_244970934-stock-photo-landscape-moroccan-desert.jpg" TargetMode="External"/><Relationship Id="rId2312" Type="http://schemas.openxmlformats.org/officeDocument/2006/relationships/hyperlink" Target="https://media.istockphoto.com/id/461952017/photo/hay-truck.jpg?s=612x612&amp;w=0&amp;k=20&amp;c=kF39O5A7Ds7Tnz2eBzTim4DLHgC5E1Qb9OCOvKPu3RA=" TargetMode="External"/><Relationship Id="rId1121" Type="http://schemas.openxmlformats.org/officeDocument/2006/relationships/hyperlink" Target="https://www.insuranceneighbor.com/wp-content/uploads/sites/2939/2019/12/Road-Hazard-Pothole.jpg" TargetMode="External"/><Relationship Id="rId1938" Type="http://schemas.openxmlformats.org/officeDocument/2006/relationships/hyperlink" Target="https://media.istockphoto.com/id/1057570312/photo/mountain-bicycle-fixed-with-roof-mounted-bike-carriers-instaled-on-white-auto-roof-travel.jpg?s=612x612&amp;w=0&amp;k=20&amp;c=Qp8Uy7bhjnY8uL6qaS4U3MDVRkqMwKW43rnrlRzJyuQ=" TargetMode="External"/><Relationship Id="rId281" Type="http://schemas.openxmlformats.org/officeDocument/2006/relationships/hyperlink" Target="https://images.pexels.com/photos/16352748/pexels-photo-16352748.jpeg" TargetMode="External"/><Relationship Id="rId141" Type="http://schemas.openxmlformats.org/officeDocument/2006/relationships/hyperlink" Target="https://st2.depositphotos.com/1662991/7158/i/380/depositphotos_71584357-stock-photo-couple-texting-and-driving.jpg" TargetMode="External"/><Relationship Id="rId7" Type="http://schemas.openxmlformats.org/officeDocument/2006/relationships/hyperlink" Target="https://media.gettyimages.com/id/1143801187/photo/young-girl-is-putting-lipstick-in-the-traffic-jam-in-rainy-day.jpg?s=612x612&amp;w=gi&amp;k=20&amp;c=Et3dGWYdv4VZDY3n6xdXWou6oo-5_Mf-h_W0Xr1xF1A=" TargetMode="External"/><Relationship Id="rId958" Type="http://schemas.openxmlformats.org/officeDocument/2006/relationships/hyperlink" Target="https://media.istockphoto.com/id/894541466/photo/paulista-avenue-sao-paulo-brazil.jpg?s=612x612&amp;w=0&amp;k=20&amp;c=g1P9DuGHTcrcvgP6MfVd37Ct-8g9ErwOqIALdkmcb2U=" TargetMode="External"/><Relationship Id="rId1588" Type="http://schemas.openxmlformats.org/officeDocument/2006/relationships/hyperlink" Target="https://media.istockphoto.com/id/477707350/photo/king-street-newtown.jpg?s=612x612&amp;w=0&amp;k=20&amp;c=C8ZyJCmlcmf7h6adgIiBrZWAuNUjOzPjqAO6yfagezc=" TargetMode="External"/><Relationship Id="rId1795" Type="http://schemas.openxmlformats.org/officeDocument/2006/relationships/hyperlink" Target="https://encrypted-tbn0.gstatic.com/images?q=tbn:ANd9GcRmN6wQnfCTR9GVSXZn2lO1R4tC6evb76WNBQ&amp;s" TargetMode="External"/><Relationship Id="rId87" Type="http://schemas.openxmlformats.org/officeDocument/2006/relationships/hyperlink" Target="https://www.sleepscore.com/wp-content/uploads/2016/10/blog-SleepyDriving-preview.jpg" TargetMode="External"/><Relationship Id="rId818" Type="http://schemas.openxmlformats.org/officeDocument/2006/relationships/hyperlink" Target="https://media.istockphoto.com/id/499099945/photo/highway-401-during-the-day.jpg?s=612x612&amp;w=0&amp;k=20&amp;c=2oSv44SMWGfPu6jeL8n_jIw85dYAa00GgPowQ2R3UYI=" TargetMode="External"/><Relationship Id="rId1448" Type="http://schemas.openxmlformats.org/officeDocument/2006/relationships/hyperlink" Target="https://media.istockphoto.com/id/1030960660/photo/mother-turns-around-to-her-children-on-the-back-seat-of-car.jpg?s=612x612&amp;w=0&amp;k=20&amp;c=HSZB_HqQw2z6dnvlQmN_UA91pbwrepZufpYwOHM7Y1o=" TargetMode="External"/><Relationship Id="rId1655" Type="http://schemas.openxmlformats.org/officeDocument/2006/relationships/hyperlink" Target="https://i.ytimg.com/vi/QOahnV7DJ2s/hq720.jpg?sqp=-oaymwEhCK4FEIIDSFryq4qpAxMIARUAAAAAGAElAADIQj0AgKJD&amp;rs=AOn4CLB05s_1_eFosTJ8_7MO7lj7l95VDg" TargetMode="External"/><Relationship Id="rId1308" Type="http://schemas.openxmlformats.org/officeDocument/2006/relationships/hyperlink" Target="https://st.depositphotos.com/18723914/57465/i/380/depositphotos_574652022-stock-photo-kangaroo-road-kangaroo-island-australia.jpg" TargetMode="External"/><Relationship Id="rId1862" Type="http://schemas.openxmlformats.org/officeDocument/2006/relationships/hyperlink" Target="https://media.istockphoto.com/id/697702430/photo/car-with-two-canoes-on-top-roof-in-mountains.jpg?s=612x612&amp;w=0&amp;k=20&amp;c=ZnXjhpQMEC5b4jcAZJrv-rGkNp5aFLrJl-Ibn0cNtsc=" TargetMode="External"/><Relationship Id="rId1515" Type="http://schemas.openxmlformats.org/officeDocument/2006/relationships/hyperlink" Target="https://media.istockphoto.com/id/1045979216/photo/cars-moving-on-the-road-in-city-in-late-evening.jpg?s=612x612&amp;w=0&amp;k=20&amp;c=hFfW7WzeeR3X7FTmwkZ0u4_bBzRK1iJcZwisOgdJB3M=" TargetMode="External"/><Relationship Id="rId1722" Type="http://schemas.openxmlformats.org/officeDocument/2006/relationships/hyperlink" Target="https://media.licdn.com/dms/image/v2/C5612AQEK8ndBs5M_lg/article-cover_image-shrink_720_1280/article-cover_image-shrink_720_1280/0/1547761671901?e=2147483647&amp;v=beta&amp;t=HlaQdZ9xFp-uD_Rx7UvWMaGKMmjwzHf7jUPEeXU5UR8" TargetMode="External"/><Relationship Id="rId14" Type="http://schemas.openxmlformats.org/officeDocument/2006/relationships/hyperlink" Target="https://www.iii.org/sites/default/files/p_woman_lipstick_drive_453162261.jpg" TargetMode="External"/><Relationship Id="rId2289" Type="http://schemas.openxmlformats.org/officeDocument/2006/relationships/hyperlink" Target="https://media.istockphoto.com/id/1141023496/photo/trailer-load-of-trash.jpg?s=612x612&amp;w=0&amp;k=20&amp;c=8WtXL79RLz_3LU9h-ru337_rLfNO1nZjdccK4Yk_CaQ=" TargetMode="External"/><Relationship Id="rId468" Type="http://schemas.openxmlformats.org/officeDocument/2006/relationships/hyperlink" Target="https://images.unsplash.com/photo-1610210734809-1beaf51099c5?w=500&amp;auto=format&amp;fit=crop&amp;q=60&amp;ixlib=rb-4.1.0&amp;ixid=M3wxMjA3fDB8MHxzZWFyY2h8NzF8fHBlZGVzdHJpYW4lMjB3YWxraW5nJTIwZ3JlZW4lMjBsaWdodHxlbnwwfHwwfHx8MA%3D%3D" TargetMode="External"/><Relationship Id="rId675" Type="http://schemas.openxmlformats.org/officeDocument/2006/relationships/hyperlink" Target="https://media.istockphoto.com/id/2156838758/photo/woman-strolls-with-phone-and-ice-cream.jpg?s=612x612&amp;w=0&amp;k=20&amp;c=2wloP8A1JOFCsm2VAQRmqhfzWmblhpDTw8D5uGFtTcI=" TargetMode="External"/><Relationship Id="rId882" Type="http://schemas.openxmlformats.org/officeDocument/2006/relationships/hyperlink" Target="https://media.istockphoto.com/id/1127254622/photo/heavy-but-fluid-traffic-on-the-a10-highway-in-france-by-a-sunny-day.jpg?s=612x612&amp;w=0&amp;k=20&amp;c=KwwoFrRzFSGMFznyuadEzGtPKbZmklURsp5BaE_nD6E=" TargetMode="External"/><Relationship Id="rId1098" Type="http://schemas.openxmlformats.org/officeDocument/2006/relationships/hyperlink" Target="https://st3.depositphotos.com/29384342/35115/i/380/depositphotos_351153820-stock-photo-picturesque-view-countryside-scenery.jpg" TargetMode="External"/><Relationship Id="rId2149" Type="http://schemas.openxmlformats.org/officeDocument/2006/relationships/hyperlink" Target="https://www.arrivealive.mobi/ckfinder/userfiles/images/overload%20bakkie.jpg" TargetMode="External"/><Relationship Id="rId2356" Type="http://schemas.openxmlformats.org/officeDocument/2006/relationships/hyperlink" Target="https://www.truckloadaustralia.com.au/thumbnaillarge/M_full_img-dark2.jpg" TargetMode="External"/><Relationship Id="rId328" Type="http://schemas.openxmlformats.org/officeDocument/2006/relationships/hyperlink" Target="https://media.istockphoto.com/id/478525372/photo/woman-crossing-the-street-at-pedestrian-crossing.jpg?s=612x612&amp;w=0&amp;k=20&amp;c=eLWbO3l_mLfgUYDadVagNAKpeuJ_DuRFby3V8H3gqLQ=" TargetMode="External"/><Relationship Id="rId535" Type="http://schemas.openxmlformats.org/officeDocument/2006/relationships/hyperlink" Target="https://images.unsplash.com/photo-1698374081634-cae02713b1a6?w=500&amp;auto=format&amp;fit=crop&amp;q=60&amp;ixlib=rb-4.1.0&amp;ixid=M3wxMjA3fDB8MHxzZWFyY2h8MTIwfHxwZWRlc3RyaWFuJTIwd2Fsa2luZyUyMGdyZWVuJTIwbGlnaHR8ZW58MHx8MHx8fDA%3D" TargetMode="External"/><Relationship Id="rId742" Type="http://schemas.openxmlformats.org/officeDocument/2006/relationships/hyperlink" Target="https://st.depositphotos.com/20024196/60003/i/380/depositphotos_600035298-stock-photo-london-may-2022-people-crossing.jpg" TargetMode="External"/><Relationship Id="rId1165" Type="http://schemas.openxmlformats.org/officeDocument/2006/relationships/hyperlink" Target="https://media.istockphoto.com/id/1040400108/photo/tree-across-power-lines-that-were-taken-out-by-hurricane-florence.jpg?s=612x612&amp;w=0&amp;k=20&amp;c=33-kanTCAEC4meB9ZYIQ9K6TlWz83B5Y6kKVjaKcSwk=" TargetMode="External"/><Relationship Id="rId1372" Type="http://schemas.openxmlformats.org/officeDocument/2006/relationships/hyperlink" Target="https://images.unsplash.com/photo-1598735961233-dbb3b204ba78?w=500&amp;auto=format&amp;fit=crop&amp;q=60&amp;ixlib=rb-4.1.0&amp;ixid=M3wxMjA3fDB8MHxzZWFyY2h8MTh8fGNhciUyMGF0JTIwcmVkJTIwbGlnaHR8ZW58MHx8MHx8fDA%3D" TargetMode="External"/><Relationship Id="rId2009" Type="http://schemas.openxmlformats.org/officeDocument/2006/relationships/hyperlink" Target="https://images.unsplash.com/photo-1618582948377-cd7eb0e8cb14?w=400&amp;auto=format&amp;fit=crop&amp;q=60&amp;ixlib=rb-4.1.0&amp;ixid=M3wxMjA3fDB8MHxzZWFyY2h8MjR8fHRydWNrfGVufDB8fDB8fHww" TargetMode="External"/><Relationship Id="rId2216" Type="http://schemas.openxmlformats.org/officeDocument/2006/relationships/hyperlink" Target="https://st5.depositphotos.com/31126772/68630/i/450/depositphotos_686303772-stock-photo-rooftop-cargo-carrier-bag-rear.jpg" TargetMode="External"/><Relationship Id="rId602" Type="http://schemas.openxmlformats.org/officeDocument/2006/relationships/hyperlink" Target="https://encrypted-tbn0.gstatic.com/images?q=tbn:ANd9GcTyE00T0Eh_DC3friBH57sxVnatahu4GmU5_g&amp;s" TargetMode="External"/><Relationship Id="rId1025" Type="http://schemas.openxmlformats.org/officeDocument/2006/relationships/hyperlink" Target="https://st3.depositphotos.com/6570854/33326/i/450/depositphotos_333261878-stock-photo-the-princes-highway-is-a.jpg" TargetMode="External"/><Relationship Id="rId1232" Type="http://schemas.openxmlformats.org/officeDocument/2006/relationships/hyperlink" Target="https://media.istockphoto.com/id/157418325/photo/broken-road.jpg?s=612x612&amp;w=0&amp;k=20&amp;c=Jx-L77IURiKBm2r80zULrlf4BEkPPNFaXx2pL2QGpvk=" TargetMode="External"/><Relationship Id="rId185" Type="http://schemas.openxmlformats.org/officeDocument/2006/relationships/hyperlink" Target="https://st3.depositphotos.com/13146722/33934/i/380/depositphotos_339345688-stock-photo-adult-male-caucasian-person-eating.jpg" TargetMode="External"/><Relationship Id="rId1909" Type="http://schemas.openxmlformats.org/officeDocument/2006/relationships/hyperlink" Target="https://c8.alamy.com/comp/R91MPF/big-rig-long-haul-powerful-semi-truck-with-empty-light-weight-aluminum-flat-bed-semi-trailer-running-on-the-winter-road-in-convoy-with-another-semi-tr-R91MPF.jpg" TargetMode="External"/><Relationship Id="rId392" Type="http://schemas.openxmlformats.org/officeDocument/2006/relationships/hyperlink" Target="https://media.istockphoto.com/id/1287919965/photo/mother-and-son-crossing-street.jpg?s=612x612&amp;w=0&amp;k=20&amp;c=E5DZ93TJOCs7XKu3sVsrY_Hnq_HI3sPmVzw0x3KtJq0=" TargetMode="External"/><Relationship Id="rId2073" Type="http://schemas.openxmlformats.org/officeDocument/2006/relationships/hyperlink" Target="https://media.istockphoto.com/id/474505090/photo/lorry-with-hay-bales.jpg?s=612x612&amp;w=0&amp;k=20&amp;c=g4DqkKG1ORHA5fmdcqdQjGfeEt6uiuGfDovhLCR4TGY=" TargetMode="External"/><Relationship Id="rId2280" Type="http://schemas.openxmlformats.org/officeDocument/2006/relationships/hyperlink" Target="https://images.unsplash.com/photo-1625565141751-8742de0ee1ff?w=400&amp;auto=format&amp;fit=crop&amp;q=60&amp;ixlib=rb-4.1.0&amp;ixid=M3wxMjA3fDB8MHxwaG90by1yZWxhdGVkfDE0fHx8ZW58MHx8fHx8" TargetMode="External"/><Relationship Id="rId252" Type="http://schemas.openxmlformats.org/officeDocument/2006/relationships/hyperlink" Target="https://st.depositphotos.com/2534189/2866/i/380/depositphotos_28666549-stock-photo-man-at-wheel-using-cell.jpg" TargetMode="External"/><Relationship Id="rId2140" Type="http://schemas.openxmlformats.org/officeDocument/2006/relationships/hyperlink" Target="https://www.shutterstock.com/image-photo/serakhs-turkmenistan-may-18-2007-260nw-1807857361.jpg" TargetMode="External"/><Relationship Id="rId112" Type="http://schemas.openxmlformats.org/officeDocument/2006/relationships/hyperlink" Target="https://www.iii.org/sites/default/files/p_woman_lipstick_drive_453162261.jpg" TargetMode="External"/><Relationship Id="rId1699" Type="http://schemas.openxmlformats.org/officeDocument/2006/relationships/hyperlink" Target="https://tse2.mm.bing.net/th/id/OIP.hepp42cIKG2BKRSmveec_gHaE8?r=0&amp;pid=Api" TargetMode="External"/><Relationship Id="rId2000" Type="http://schemas.openxmlformats.org/officeDocument/2006/relationships/hyperlink" Target="https://images.unsplash.com/photo-1501700493788-fa1a4fc9fe62?w=400&amp;auto=format&amp;fit=crop&amp;q=60&amp;ixlib=rb-4.1.0&amp;ixid=M3wxMjA3fDB8MHxzZWFyY2h8NHx8dHJ1Y2t8ZW58MHx8MHx8fDA%3D" TargetMode="External"/><Relationship Id="rId929" Type="http://schemas.openxmlformats.org/officeDocument/2006/relationships/hyperlink" Target="https://media.istockphoto.com/id/2178353298/photo/a-road-with-a-white-line-down-the-middle-and-a-yellow-line-on-the-side.jpg?s=612x612&amp;w=0&amp;k=20&amp;c=pqIhn96bLGu2jqyVNpkw8TtaEyDR2_L1cow82kwIf3s=" TargetMode="External"/><Relationship Id="rId1559" Type="http://schemas.openxmlformats.org/officeDocument/2006/relationships/hyperlink" Target="https://media.istockphoto.com/id/510399253/photo/busy-highway.jpg?s=612x612&amp;w=0&amp;k=20&amp;c=ex27rahrcjx2ZDB5qJgSKgTPqEzx6IBTeRhg75aGrz4=" TargetMode="External"/><Relationship Id="rId1766" Type="http://schemas.openxmlformats.org/officeDocument/2006/relationships/hyperlink" Target="https://thumbs.dreamstime.com/b/illegal-parking-pedestrian-crossing-violation-rules-rights-pedestrians-54732203.jpg" TargetMode="External"/><Relationship Id="rId1973" Type="http://schemas.openxmlformats.org/officeDocument/2006/relationships/hyperlink" Target="https://media.istockphoto.com/id/697702430/photo/car-with-two-canoes-on-top-roof-in-mountains.jpg?s=612x612&amp;w=0&amp;k=20&amp;c=ZnXjhpQMEC5b4jcAZJrv-rGkNp5aFLrJl-Ibn0cNtsc=" TargetMode="External"/><Relationship Id="rId58" Type="http://schemas.openxmlformats.org/officeDocument/2006/relationships/hyperlink" Target="https://media.istockphoto.com/id/877029722/photo/mom-texts-while-driving-with-child-in-the-backseat.jpg?s=612x612&amp;w=0&amp;k=20&amp;c=3ox2pF4drxmlDYNl1DhA-6Znk_Srj10trA3xMhtkI50=" TargetMode="External"/><Relationship Id="rId1419" Type="http://schemas.openxmlformats.org/officeDocument/2006/relationships/hyperlink" Target="https://media.istockphoto.com/id/522564791/photo/winter-sun-on-sunday-motorway-traffic-essex-england.jpg?s=1024x1024&amp;w=is&amp;k=20&amp;c=LX2usWbX5L7lIkT_62x8090Umn61U4iD-DEIScFRP88=" TargetMode="External"/><Relationship Id="rId1626" Type="http://schemas.openxmlformats.org/officeDocument/2006/relationships/hyperlink" Target="https://images.carexpert.com.au/resize/960/-/app/uploads/2023/08/blocked-intersection-2.png" TargetMode="External"/><Relationship Id="rId1833" Type="http://schemas.openxmlformats.org/officeDocument/2006/relationships/hyperlink" Target="https://encrypted-tbn0.gstatic.com/images?q=tbn:ANd9GcS_10gIXc51bXb5xQEhp7rGDMhdeby_y2r0SweM6FN7cqETJ4pF9ZTY_eDlSwrEKbY7TAg&amp;usqp=CAU" TargetMode="External"/><Relationship Id="rId1900" Type="http://schemas.openxmlformats.org/officeDocument/2006/relationships/hyperlink" Target="https://img.rasset.ie/00116b54-500.jpg" TargetMode="External"/><Relationship Id="rId579" Type="http://schemas.openxmlformats.org/officeDocument/2006/relationships/hyperlink" Target="https://media.istockphoto.com/id/1625170893/photo/people-jaywalking-in-new-york-city.jpg?s=612x612&amp;w=0&amp;k=20&amp;c=mzG9kd2F9-yyGHGi69fEsARyA6TzOuJxC-qTHez8pzI=" TargetMode="External"/><Relationship Id="rId786" Type="http://schemas.openxmlformats.org/officeDocument/2006/relationships/hyperlink" Target="https://st4.depositphotos.com/21607914/23781/i/380/depositphotos_237813492-stock-photo-chinese-jaywalkers-walk-road-nanjing.jpg" TargetMode="External"/><Relationship Id="rId993" Type="http://schemas.openxmlformats.org/officeDocument/2006/relationships/hyperlink" Target="https://st4.depositphotos.com/13485624/22136/i/450/depositphotos_221361216-stock-photo-melbourne-australia-january-2018-entrance.jpg" TargetMode="External"/><Relationship Id="rId439" Type="http://schemas.openxmlformats.org/officeDocument/2006/relationships/hyperlink" Target="https://st2.depositphotos.com/1609055/7563/i/380/depositphotos_75638913-stock-photo-woman-crossing-street-at-pedestrian.jpg" TargetMode="External"/><Relationship Id="rId646" Type="http://schemas.openxmlformats.org/officeDocument/2006/relationships/hyperlink" Target="https://media.istockphoto.com/id/1186042762/photo/kid-crossing-the-street-at-a-pedestrian-crossing-and-listening-to-music-on-his-cellphone.jpg?s=612x612&amp;w=0&amp;k=20&amp;c=jxuKkuDgIUc7Fwb4NJX1vE2dQciu7OPEouWXG3FKvPY=" TargetMode="External"/><Relationship Id="rId1069" Type="http://schemas.openxmlformats.org/officeDocument/2006/relationships/hyperlink" Target="https://media.istockphoto.com/id/2167336094/photo/road-blocked-by-uprooted-tree-aftermath-of-severe-weather-in-poconos-forest-area.jpg?s=612x612&amp;w=0&amp;k=20&amp;c=nmN7n_ORML-fRbKqI5cii30ksjLIHoRSTVKcUyPKwhk=" TargetMode="External"/><Relationship Id="rId1276" Type="http://schemas.openxmlformats.org/officeDocument/2006/relationships/hyperlink" Target="https://st4.depositphotos.com/2716431/31034/i/380/depositphotos_310340822-stock-photo-reindeers-crossing-a-road-in.jpg" TargetMode="External"/><Relationship Id="rId1483" Type="http://schemas.openxmlformats.org/officeDocument/2006/relationships/hyperlink" Target="https://images.unsplash.com/photo-1598735961233-dbb3b204ba78?w=500&amp;auto=format&amp;fit=crop&amp;q=60&amp;ixlib=rb-4.1.0&amp;ixid=M3wxMjA3fDB8MHxzZWFyY2h8MTh8fGNhciUyMGF0JTIwcmVkJTIwbGlnaHR8ZW58MHx8MHx8fDA%3D" TargetMode="External"/><Relationship Id="rId2327" Type="http://schemas.openxmlformats.org/officeDocument/2006/relationships/hyperlink" Target="https://encrypted-tbn0.gstatic.com/images?q=tbn:ANd9GcRt8AZ6bg6Uws0AjZQdGVrJFoPHUW2c2mGsJw&amp;s" TargetMode="External"/><Relationship Id="rId506" Type="http://schemas.openxmlformats.org/officeDocument/2006/relationships/hyperlink" Target="https://media.istockphoto.com/id/1482838658/photo/father-and-children-crossing-road-on-pedestrian-crosswalk.jpg?s=612x612&amp;w=0&amp;k=20&amp;c=DgHIEw_HLqnrq6hl_dSdhHLIHhuZzHHEthwcDo7yMyc=" TargetMode="External"/><Relationship Id="rId853" Type="http://schemas.openxmlformats.org/officeDocument/2006/relationships/hyperlink" Target="https://media.istockphoto.com/id/1148591236/photo/empty-asphalt-road-with-buildings-in-the-city.jpg?s=612x612&amp;w=0&amp;k=20&amp;c=VBLu8GxlUatECihoiORQTZJtpOJc2_-pAzvS2vyGZK0=" TargetMode="External"/><Relationship Id="rId1136" Type="http://schemas.openxmlformats.org/officeDocument/2006/relationships/hyperlink" Target="https://media.istockphoto.com/id/460744007/photo/night-driving.jpg?s=612x612&amp;w=0&amp;k=20&amp;c=-gzQPmNt91FhMccpYK93LiJsdtfeLFeazj-xST2bYQU=" TargetMode="External"/><Relationship Id="rId1690" Type="http://schemas.openxmlformats.org/officeDocument/2006/relationships/hyperlink" Target="https://media.istockphoto.com/id/1214893505/photo/people-without-helmet-violating-traffic-rules-boy-wearing-an-n-95-face-mask-sits-behind-his.jpg?s=612x612&amp;w=0&amp;k=20&amp;c=V9IEmbVA2J8XgTkKKLYM0fwh3Q9OoTGHKMeoH6Lg1oQ=" TargetMode="External"/><Relationship Id="rId713" Type="http://schemas.openxmlformats.org/officeDocument/2006/relationships/hyperlink" Target="https://media.istockphoto.com/id/1386843956/photo/pedestrians-on-the-street.jpg?s=612x612&amp;w=0&amp;k=20&amp;c=LPq5UdnOzElFy33YpwEKXjl5ZHe0o7qIEE4_9kT0j4U=" TargetMode="External"/><Relationship Id="rId920" Type="http://schemas.openxmlformats.org/officeDocument/2006/relationships/hyperlink" Target="https://media.istockphoto.com/id/1216211417/photo/asphalt-road-background-3d-rendering.jpg?s=612x612&amp;w=0&amp;k=20&amp;c=DU9HkDoyMkh9AijS1HSbyC1Gj0bAKxKdc3n4ingABOY=" TargetMode="External"/><Relationship Id="rId1343" Type="http://schemas.openxmlformats.org/officeDocument/2006/relationships/hyperlink" Target="https://media.istockphoto.com/id/1776797587/photo/a-car-sits-in-the-street-after-water-was-flooding-it.jpg?s=612x612&amp;w=0&amp;k=20&amp;c=iZ4E-JtDawtQ7srEghYwtFrZ9PmTf71K7-LzljgPLmw=" TargetMode="External"/><Relationship Id="rId1550" Type="http://schemas.openxmlformats.org/officeDocument/2006/relationships/hyperlink" Target="https://images.unsplash.com/photo-1534773294507-d8090ebbcec6?w=400&amp;auto=format&amp;fit=crop&amp;q=60&amp;ixlib=rb-4.1.0&amp;ixid=M3wxMjA3fDB8MHxzZWFyY2h8Mnx8Y2FyJTIwaW4lMjBjaXR5JTIwYXVzdHJhbGlhfGVufDB8fDB8fHww" TargetMode="External"/><Relationship Id="rId1203" Type="http://schemas.openxmlformats.org/officeDocument/2006/relationships/hyperlink" Target="https://media.istockphoto.com/id/2164167925/photo/puddles-and-damaged-asphalt-road-edge-sunny-day.jpg?s=612x612&amp;w=0&amp;k=20&amp;c=Afe1mWHu2PtIe8m_44vlt0f6Wg6u2zqK_8ogGeveex8=" TargetMode="External"/><Relationship Id="rId1410" Type="http://schemas.openxmlformats.org/officeDocument/2006/relationships/hyperlink" Target="https://media.istockphoto.com/id/1464681993/photo/man-riding-motorcycle-with-helmet.jpg?s=1024x1024&amp;w=is&amp;k=20&amp;c=Ju-dugWp0nlHvZZGBh2rdCT0djRFuQTJ6QzDIsY8eSs=" TargetMode="External"/><Relationship Id="rId296" Type="http://schemas.openxmlformats.org/officeDocument/2006/relationships/hyperlink" Target="https://c8.alamy.com/comp/EATT1X/a-mother-crosses-a-busy-road-with-her-son-on-his-first-day-of-school-EATT1X.jpg" TargetMode="External"/><Relationship Id="rId2184" Type="http://schemas.openxmlformats.org/officeDocument/2006/relationships/hyperlink" Target="https://st5.depositphotos.com/49678184/72426/i/380/depositphotos_724268454-stock-photo-rear-view-overloaded-van-traveling.jpg" TargetMode="External"/><Relationship Id="rId156" Type="http://schemas.openxmlformats.org/officeDocument/2006/relationships/hyperlink" Target="https://images.pexels.com/photos/6529871/pexels-photo-6529871.jpeg" TargetMode="External"/><Relationship Id="rId363" Type="http://schemas.openxmlformats.org/officeDocument/2006/relationships/hyperlink" Target="https://c8.alamy.com/comp/EATT1X/a-mother-crosses-a-busy-road-with-her-son-on-his-first-day-of-school-EATT1X.jpg" TargetMode="External"/><Relationship Id="rId570" Type="http://schemas.openxmlformats.org/officeDocument/2006/relationships/hyperlink" Target="https://media.istockphoto.com/id/533502443/photo/teenager-text-messaging.jpg?s=612x612&amp;w=0&amp;k=20&amp;c=23UqlketfkmdrrOPTvDhwz_8n6JL3xoKRpJRBVTzFLU=" TargetMode="External"/><Relationship Id="rId2044" Type="http://schemas.openxmlformats.org/officeDocument/2006/relationships/hyperlink" Target="https://media.istockphoto.com/id/1279002529/photo/long-haul-semi-truck-on-a-rural-western-usa-interstate-highway.jpg?s=612x612&amp;w=0&amp;k=20&amp;c=whigLZsLjC6BLRWcEMdgqRt-sZk70T39U0tEDg7NVss=" TargetMode="External"/><Relationship Id="rId2251" Type="http://schemas.openxmlformats.org/officeDocument/2006/relationships/hyperlink" Target="https://st3.depositphotos.com/2047341/13195/i/450/depositphotos_131953698-stock-photo-trucks-in-sudan-at-the.jpg" TargetMode="External"/><Relationship Id="rId223" Type="http://schemas.openxmlformats.org/officeDocument/2006/relationships/hyperlink" Target="https://st4.depositphotos.com/1192060/38820/i/380/depositphotos_388208736-stock-photo-woman-applying-lipstick-while-driving.jpg" TargetMode="External"/><Relationship Id="rId430" Type="http://schemas.openxmlformats.org/officeDocument/2006/relationships/hyperlink" Target="https://media.istockphoto.com/id/1207725287/photo/woman-with-mask-crossing-street.jpg?s=612x612&amp;w=0&amp;k=20&amp;c=mRwOSQJnl3sNw58Hp8UM9MMOqy4j6rZAv15w03yth5c=" TargetMode="External"/><Relationship Id="rId1060" Type="http://schemas.openxmlformats.org/officeDocument/2006/relationships/hyperlink" Target="https://h7.alamy.com/comp/FJ5NH1/american-bison-buffalo-bison-bison-male-crossing-a-street-usa-wyoming-FJ5NH1.jpg" TargetMode="External"/><Relationship Id="rId2111" Type="http://schemas.openxmlformats.org/officeDocument/2006/relationships/hyperlink" Target="https://st.depositphotos.com/1005951/55876/i/450/depositphotos_558767506-stock-photo-very-large-roof-box-storage.jpg" TargetMode="External"/><Relationship Id="rId1877" Type="http://schemas.openxmlformats.org/officeDocument/2006/relationships/hyperlink" Target="https://images.unsplash.com/photo-1721804295754-1905f69c86ad?w=400&amp;auto=format&amp;fit=crop&amp;q=60&amp;ixlib=rb-4.1.0&amp;ixid=M3wxMjA3fDB8MHxzZWFyY2h8MTF8fHRydWNrJTIwY2Fycnlpbmd8ZW58MHx8MHx8fDA%3D" TargetMode="External"/><Relationship Id="rId1737" Type="http://schemas.openxmlformats.org/officeDocument/2006/relationships/hyperlink" Target="https://www.heraldnet.com/wp-content/uploads/2019/01/14686101_web1_M-Stop-Sign-EDH-190122.jpg" TargetMode="External"/><Relationship Id="rId1944" Type="http://schemas.openxmlformats.org/officeDocument/2006/relationships/hyperlink" Target="https://media.istockphoto.com/id/2007939149/photo/small-work-van.jpg?s=612x612&amp;w=0&amp;k=20&amp;c=MeyzTHYOa4puQ2X3RbvQz-6XX8ATsMGAtlgOROLn-Lo=" TargetMode="External"/><Relationship Id="rId29" Type="http://schemas.openxmlformats.org/officeDocument/2006/relationships/hyperlink" Target="https://st2.depositphotos.com/1236925/8010/i/380/depositphotos_80101804-stock-photo-young-man-driving-his-car.jpg" TargetMode="External"/><Relationship Id="rId1804" Type="http://schemas.openxmlformats.org/officeDocument/2006/relationships/hyperlink" Target="https://encrypted-tbn0.gstatic.com/images?q=tbn:ANd9GcShdFkZ1roWoOOWiTVKWrsrU45SPtgoq_GQNk1xohSyiQBEYCPv9hvFuoMYNo9RmgF3AYg&amp;usqp=CAU" TargetMode="External"/><Relationship Id="rId897" Type="http://schemas.openxmlformats.org/officeDocument/2006/relationships/hyperlink" Target="https://media.istockphoto.com/id/1364129160/photo/open-road.jpg?s=612x612&amp;w=0&amp;k=20&amp;c=wEyAJG4XnWJZ_vQ1vJZhOevnpG-BPhoXZc7yeg1oCJo=" TargetMode="External"/><Relationship Id="rId757" Type="http://schemas.openxmlformats.org/officeDocument/2006/relationships/hyperlink" Target="https://media.cnn.com/api/v1/images/stellar/prod/gettyimages-1943409413.jpg" TargetMode="External"/><Relationship Id="rId964" Type="http://schemas.openxmlformats.org/officeDocument/2006/relationships/hyperlink" Target="https://static8.depositphotos.com/1421348/902/i/380/depositphotos_9022938-stock-photo-city-highway.jpg" TargetMode="External"/><Relationship Id="rId1387" Type="http://schemas.openxmlformats.org/officeDocument/2006/relationships/hyperlink" Target="https://encrypted-tbn0.gstatic.com/images?q=tbn:ANd9GcR3kc5V_azgTbA15KeQX8MCCAEGSnKYVTi0dA&amp;s" TargetMode="External"/><Relationship Id="rId1594" Type="http://schemas.openxmlformats.org/officeDocument/2006/relationships/hyperlink" Target="https://media.istockphoto.com/id/182138065/photo/dangerous-crossing.jpg?s=612x612&amp;w=0&amp;k=20&amp;c=fBB4qAsCnRMQsjqZdrVK9q3yloKccC7WWh5CvlBb_jE=" TargetMode="External"/><Relationship Id="rId93" Type="http://schemas.openxmlformats.org/officeDocument/2006/relationships/hyperlink" Target="https://c8.alamy.com/comp/2JA250B/a-tired-driver-asleep-at-the-wheel-concept-of-man-tired-of-driving-a-man-driver-asleep-at-the-wheel-a-tired-person-sleeping-at-the-wheel-of-the-car-2JA250B.jpg" TargetMode="External"/><Relationship Id="rId617" Type="http://schemas.openxmlformats.org/officeDocument/2006/relationships/hyperlink" Target="https://www.indystar.com/gcdn/presto/2020/07/05/PIND/05e92eb7-5288-4a67-90eb-e1042ab5091a-02_hoodmarch_RS.JPG" TargetMode="External"/><Relationship Id="rId824" Type="http://schemas.openxmlformats.org/officeDocument/2006/relationships/hyperlink" Target="https://media.istockphoto.com/id/2151065259/photo/a-view-along-high-street-northcote-from-an-area-called-the-westgarth-village-towards-ruckers.jpg?s=612x612&amp;w=0&amp;k=20&amp;c=5HT07wCCTtRj-V03Db8By3e85P2s4cMfgjfPzUM1-p4=" TargetMode="External"/><Relationship Id="rId1247" Type="http://schemas.openxmlformats.org/officeDocument/2006/relationships/hyperlink" Target="https://static3.depositphotos.com/1004489/180/i/380/depositphotos_1803795-stock-photo-car-accident-on-a-highway.jpg" TargetMode="External"/><Relationship Id="rId1454" Type="http://schemas.openxmlformats.org/officeDocument/2006/relationships/hyperlink" Target="https://media.istockphoto.com/id/501774837/photo/family-driving-a-car.jpg?s=612x612&amp;w=0&amp;k=20&amp;c=yVisAxobciSYGry8SMFMo-Kt6UzNwYwzwhQAk3MUOFw=" TargetMode="External"/><Relationship Id="rId1661" Type="http://schemas.openxmlformats.org/officeDocument/2006/relationships/hyperlink" Target="https://2passdd.com/Arizona-Defensive-Driving-School/wp-content/uploads/2020/08/car-in-crosswalk.jpg" TargetMode="External"/><Relationship Id="rId1107" Type="http://schemas.openxmlformats.org/officeDocument/2006/relationships/hyperlink" Target="https://media.istockphoto.com/id/154919588/photo/road-and-flood.jpg?s=612x612&amp;w=0&amp;k=20&amp;c=q0Kiik8wDntv_P2sLL9Ic-r6yqF8um6ivzwZ-xW6rNc=" TargetMode="External"/><Relationship Id="rId1314" Type="http://schemas.openxmlformats.org/officeDocument/2006/relationships/hyperlink" Target="https://st4.depositphotos.com/2247853/41569/i/380/depositphotos_415691830-stock-photo-cape-barren-goose-road-phillip.jpg" TargetMode="External"/><Relationship Id="rId1521" Type="http://schemas.openxmlformats.org/officeDocument/2006/relationships/hyperlink" Target="https://upload.wikimedia.org/wikipedia/commons/4/4c/4waystop.jpg" TargetMode="External"/><Relationship Id="rId20" Type="http://schemas.openxmlformats.org/officeDocument/2006/relationships/hyperlink" Target="https://encrypted-tbn0.gstatic.com/images?q=tbn:ANd9GcSQi60NR5C_mhIOdPKqpLY6ZCF3S8bse7oQFAB72sXYGRrprtMRyq1ahILc-reoBbGvb-E&amp;usqp=CAU" TargetMode="External"/><Relationship Id="rId2088" Type="http://schemas.openxmlformats.org/officeDocument/2006/relationships/hyperlink" Target="https://plus.unsplash.com/premium_photo-1664695710271-3b7a08fb6d38?w=400&amp;auto=format&amp;fit=crop&amp;q=60&amp;ixlib=rb-4.1.0&amp;ixid=M3wxMjA3fDB8MHxwaG90by1yZWxhdGVkfDE2fHx8ZW58MHx8fHx8" TargetMode="External"/><Relationship Id="rId2295" Type="http://schemas.openxmlformats.org/officeDocument/2006/relationships/hyperlink" Target="https://images.unsplash.com/photo-1653508310311-127794be33b6?w=400&amp;auto=format&amp;fit=crop&amp;q=60&amp;ixlib=rb-4.1.0&amp;ixid=M3wxMjA3fDB8MHxzZWFyY2h8MTJ8fHRyYWlsZXIlMjBsb2FkJTIwb2YlMjB0cmFzaHxlbnwwfHwwfHx8MA%3D%3D" TargetMode="External"/><Relationship Id="rId267" Type="http://schemas.openxmlformats.org/officeDocument/2006/relationships/hyperlink" Target="https://st5.depositphotos.com/4218696/67112/i/380/depositphotos_671121532-stock-photo-distracted-driving-concept-shocked-scared.jpg" TargetMode="External"/><Relationship Id="rId474" Type="http://schemas.openxmlformats.org/officeDocument/2006/relationships/hyperlink" Target="https://images.unsplash.com/photo-1668661825431-a5526806e086?w=500&amp;auto=format&amp;fit=crop&amp;q=60&amp;ixlib=rb-4.1.0&amp;ixid=M3wxMjA3fDB8MHxzZWFyY2h8OTV8fHBlZGVzdHJpYW4lMjB3YWxraW5nJTIwZ3JlZW4lMjBsaWdodHxlbnwwfHwwfHx8MA%3D%3D" TargetMode="External"/><Relationship Id="rId2155" Type="http://schemas.openxmlformats.org/officeDocument/2006/relationships/hyperlink" Target="https://blog.trucksuvidha.com/wp-content/uploads/2015/02/Picture15.jpg" TargetMode="External"/><Relationship Id="rId127" Type="http://schemas.openxmlformats.org/officeDocument/2006/relationships/hyperlink" Target="https://encrypted-tbn0.gstatic.com/images?q=tbn:ANd9GcSbHxmvukcBzqFL3TrMnmgyM0Wo56WFjrDWJg&amp;s" TargetMode="External"/><Relationship Id="rId681" Type="http://schemas.openxmlformats.org/officeDocument/2006/relationships/hyperlink" Target="https://media.istockphoto.com/id/533502443/photo/teenager-text-messaging.jpg?s=612x612&amp;w=0&amp;k=20&amp;c=23UqlketfkmdrrOPTvDhwz_8n6JL3xoKRpJRBVTzFLU=" TargetMode="External"/><Relationship Id="rId334" Type="http://schemas.openxmlformats.org/officeDocument/2006/relationships/hyperlink" Target="https://media.istockphoto.com/id/2096267867/photo/a-father-and-son-crossing-a-crosswalk-while-holding-hands.jpg?s=612x612&amp;w=0&amp;k=20&amp;c=rBgbuLnX-WOI7lsBK1Bup8pBmESpEgxIvyC7gbJJDkw=" TargetMode="External"/><Relationship Id="rId541" Type="http://schemas.openxmlformats.org/officeDocument/2006/relationships/hyperlink" Target="https://images.unsplash.com/photo-1727703551558-fac2cc06bf67?w=500&amp;auto=format&amp;fit=crop&amp;q=60&amp;ixlib=rb-4.1.0&amp;ixid=M3wxMjA3fDB8MHxwaG90by1yZWxhdGVkfDd8fHxlbnwwfHx8fHw%3D" TargetMode="External"/><Relationship Id="rId1171" Type="http://schemas.openxmlformats.org/officeDocument/2006/relationships/hyperlink" Target="https://media.istockphoto.com/id/182678225/photo/tree-fallen-from-wind-storm.jpg?s=612x612&amp;w=0&amp;k=20&amp;c=u7DGkbKVue0MnMqNrJM47OQeHmicXM7T_sf1PXNb0gE=" TargetMode="External"/><Relationship Id="rId2015" Type="http://schemas.openxmlformats.org/officeDocument/2006/relationships/hyperlink" Target="https://images.unsplash.com/photo-1590079105886-f0f884bf4437?w=400&amp;auto=format&amp;fit=crop&amp;q=60&amp;ixlib=rb-4.1.0&amp;ixid=M3wxMjA3fDB8MHxzZWFyY2h8NDB8fHRydWNrfGVufDB8fDB8fHww" TargetMode="External"/><Relationship Id="rId2222" Type="http://schemas.openxmlformats.org/officeDocument/2006/relationships/hyperlink" Target="https://st4.depositphotos.com/7149852/31014/i/450/depositphotos_310146914-stock-photo-modern-car-with-luggage-box.jpg" TargetMode="External"/><Relationship Id="rId401" Type="http://schemas.openxmlformats.org/officeDocument/2006/relationships/hyperlink" Target="https://media.istockphoto.com/id/1138882521/photo/crossing-the-street-in-san-franciscos-mission-district.jpg?s=612x612&amp;w=0&amp;k=20&amp;c=lAvxWIESjRZfzBYfaVFqwCJQyqZAy8Go3ajhsvovsW0=" TargetMode="External"/><Relationship Id="rId1031" Type="http://schemas.openxmlformats.org/officeDocument/2006/relationships/hyperlink" Target="https://media.istockphoto.com/id/1147785858/photo/road.jpg?s=612x612&amp;w=0&amp;k=20&amp;c=gFx0MjOKF5vTbIO43QnfcjrSH5rkl9ZUpk8nvjRPGFk=" TargetMode="External"/><Relationship Id="rId1988" Type="http://schemas.openxmlformats.org/officeDocument/2006/relationships/hyperlink" Target="https://media.istockphoto.com/id/648217724/photo/car-with-kayak-on-top-roof.jpg?s=612x612&amp;w=0&amp;k=20&amp;c=kY9-NNW_ms7GPwUZ0bUdBLrPKh3WIkTzjlsUVuZMj8A=" TargetMode="External"/><Relationship Id="rId1848" Type="http://schemas.openxmlformats.org/officeDocument/2006/relationships/hyperlink" Target="https://live.staticflickr.com/65535/50328552863_082a2f95a2_z.jpg" TargetMode="External"/><Relationship Id="rId191" Type="http://schemas.openxmlformats.org/officeDocument/2006/relationships/hyperlink" Target="https://st2.depositphotos.com/1010613/7611/i/380/depositphotos_76114713-stock-photo-businessman-eating-snack.jpg" TargetMode="External"/><Relationship Id="rId1708" Type="http://schemas.openxmlformats.org/officeDocument/2006/relationships/hyperlink" Target="https://images.unsplash.com/photo-1668079061766-0d7f1c2b7996?w=500&amp;auto=format&amp;fit=crop&amp;q=60&amp;ixlib=rb-4.1.0&amp;ixid=M3wxMjA3fDB8MHxzZWFyY2h8Mjd8fGNhciUyMGF0JTIwcmVkJTIwbGlnaHR8ZW58MHx8MHx8fDA%3D" TargetMode="External"/><Relationship Id="rId1915" Type="http://schemas.openxmlformats.org/officeDocument/2006/relationships/hyperlink" Target="https://media.istockphoto.com/id/946210052/photo/caravan-or-convoy-of-trucks-on-highway.jpg?s=1024x1024&amp;w=is&amp;k=20&amp;c=iBPkPhLDcLWhR6N-mwXba5W220LNEHO85SFXJpiC8K4=" TargetMode="External"/><Relationship Id="rId868" Type="http://schemas.openxmlformats.org/officeDocument/2006/relationships/hyperlink" Target="https://static01.nyt.com/images/2012/04/13/arts/13JPDRIVE1/13JPDRIVE1-superJumbo.jpg" TargetMode="External"/><Relationship Id="rId1498" Type="http://schemas.openxmlformats.org/officeDocument/2006/relationships/hyperlink" Target="https://images.unsplash.com/photo-1574868923023-e0cb604ad557?w=500&amp;auto=format&amp;fit=crop&amp;q=60&amp;ixlib=rb-4.1.0&amp;ixid=M3wxMjA3fDB8MHxwaG90by1yZWxhdGVkfDl8fHxlbnwwfHx8fHw%3D" TargetMode="External"/><Relationship Id="rId728" Type="http://schemas.openxmlformats.org/officeDocument/2006/relationships/hyperlink" Target="https://media.istockphoto.com/id/1150351464/photo/jaywalking-on-a-city-street.jpg?s=612x612&amp;w=0&amp;k=20&amp;c=xvH692j6e2bA03I86zgcYoZ40DLRmf1Dd_hR7IY5n-Y=" TargetMode="External"/><Relationship Id="rId935" Type="http://schemas.openxmlformats.org/officeDocument/2006/relationships/hyperlink" Target="https://media.istockphoto.com/id/1057809092/photo/russian-roads-in-karelia-travel-by-road-asphalt-road-smooth-road.jpg?s=612x612&amp;w=0&amp;k=20&amp;c=fBouhuAtPjuQ9Uzzr9epMXNGCgt-MsLoZGRRCMdMcCY=" TargetMode="External"/><Relationship Id="rId1358" Type="http://schemas.openxmlformats.org/officeDocument/2006/relationships/hyperlink" Target="https://images.perthnow.com.au/publication/C-18942408/b56f243642a9d85ad058b9eddf6d9b79dd0437bb-16x9-x0y283w2776h1562.jpg?imwidth=668&amp;impolicy=pn_v3" TargetMode="External"/><Relationship Id="rId1565" Type="http://schemas.openxmlformats.org/officeDocument/2006/relationships/hyperlink" Target="https://media.istockphoto.com/id/617778720/photo/main-road-in-melbourne.jpg?s=612x612&amp;w=0&amp;k=20&amp;c=zDkc-Bg4VOUIxhUHukD7thrDu6oYQPpMeuBx_A08V1s=" TargetMode="External"/><Relationship Id="rId1772" Type="http://schemas.openxmlformats.org/officeDocument/2006/relationships/hyperlink" Target="https://images.carexpert.com.au/resize/960/-/cms/v1/media/2023-07-blocked-intersection.jpg" TargetMode="External"/><Relationship Id="rId64" Type="http://schemas.openxmlformats.org/officeDocument/2006/relationships/hyperlink" Target="https://media.gettyimages.com/id/1657434172/photo/distracted-female-driver-looking-at-passengers-phone.jpg?s=612x612&amp;w=gi&amp;k=20&amp;c=M2-qy8qa4RRCABGMmBCNWgS62bR56W9MQG7THhzqtX0=" TargetMode="External"/><Relationship Id="rId1218" Type="http://schemas.openxmlformats.org/officeDocument/2006/relationships/hyperlink" Target="https://media.istockphoto.com/id/1848810166/photo/water-in-pothole.jpg?s=612x612&amp;w=0&amp;k=20&amp;c=jRRnzBxgBAM-mIM5-2hDbCv9Ka_vkWgS4t0oZrD-2lM=" TargetMode="External"/><Relationship Id="rId1425" Type="http://schemas.openxmlformats.org/officeDocument/2006/relationships/hyperlink" Target="https://images.perthnow.com.au/publication/C-18942408/b56f243642a9d85ad058b9eddf6d9b79dd0437bb-16x9-x0y283w2776h1562.jpg?imwidth=668&amp;impolicy=pn_v3" TargetMode="External"/><Relationship Id="rId1632" Type="http://schemas.openxmlformats.org/officeDocument/2006/relationships/hyperlink" Target="https://encrypted-tbn0.gstatic.com/images?q=tbn:ANd9GcShdFkZ1roWoOOWiTVKWrsrU45SPtgoq_GQNk1xohSyiQBEYCPv9hvFuoMYNo9RmgF3AYg&amp;usqp=CAU" TargetMode="External"/><Relationship Id="rId2199" Type="http://schemas.openxmlformats.org/officeDocument/2006/relationships/hyperlink" Target="https://st.depositphotos.com/8272416/59368/i/450/depositphotos_593680588-stock-photo-accra-ghana-april-2022-crowded.jpg" TargetMode="External"/><Relationship Id="rId378" Type="http://schemas.openxmlformats.org/officeDocument/2006/relationships/hyperlink" Target="https://freight.cargo.site/t/original/i/34bf443e9c7940adf00d264f4b3c422233e1dc9ef4ffcb2a31eb1adeff92be95/Stands_Cover.jpg" TargetMode="External"/><Relationship Id="rId585" Type="http://schemas.openxmlformats.org/officeDocument/2006/relationships/hyperlink" Target="https://st.depositphotos.com/20024196/60003/i/380/depositphotos_600035298-stock-photo-london-may-2022-people-crossing.jpg" TargetMode="External"/><Relationship Id="rId792" Type="http://schemas.openxmlformats.org/officeDocument/2006/relationships/hyperlink" Target="https://images.pexels.com/photos/20030515/pexels-photo-20030515.jpeg" TargetMode="External"/><Relationship Id="rId2059" Type="http://schemas.openxmlformats.org/officeDocument/2006/relationships/hyperlink" Target="https://media.istockphoto.com/id/938116384/photo/truck-transporting-wood.jpg?s=612x612&amp;w=0&amp;k=20&amp;c=bpySouUP_1SQ_7LxBdtmulFnZ_5nN1L_vfnFm0lX5Ls=" TargetMode="External"/><Relationship Id="rId2266" Type="http://schemas.openxmlformats.org/officeDocument/2006/relationships/hyperlink" Target="https://st3.depositphotos.com/1550655/15907/i/450/depositphotos_159076868-stock-photo-over-load-on-toyota-commuter.jpg" TargetMode="External"/><Relationship Id="rId238" Type="http://schemas.openxmlformats.org/officeDocument/2006/relationships/hyperlink" Target="https://st5.depositphotos.com/9045224/75564/i/380/depositphotos_755649942-stock-photo-woman-applying-lipstick-while-seated.jpg" TargetMode="External"/><Relationship Id="rId445" Type="http://schemas.openxmlformats.org/officeDocument/2006/relationships/hyperlink" Target="https://st3.depositphotos.com/16849182/33660/i/380/depositphotos_336604854-stock-photo-one-pedestrian-walking-through-the.jpg" TargetMode="External"/><Relationship Id="rId652" Type="http://schemas.openxmlformats.org/officeDocument/2006/relationships/hyperlink" Target="https://media.istockphoto.com/id/1152269806/photo/low-angle-of-car-in-front-of-pedestrian-crossing-and-walking-boy-with-smartphone.jpg?s=612x612&amp;w=0&amp;k=20&amp;c=9SZeOADKBUdugkDrnp4ADca7oLmr4iujvhwH7oeW5SM=" TargetMode="External"/><Relationship Id="rId1075" Type="http://schemas.openxmlformats.org/officeDocument/2006/relationships/hyperlink" Target="https://media.istockphoto.com/id/941160696/photo/potholes-on-a-paved-road.jpg?s=612x612&amp;w=0&amp;k=20&amp;c=r3cMwK6Yfj1pCE_itggsAq7V8jsFYjFmS3912Cyry_Y=" TargetMode="External"/><Relationship Id="rId1282" Type="http://schemas.openxmlformats.org/officeDocument/2006/relationships/hyperlink" Target="https://st4.depositphotos.com/27201292/37854/i/380/depositphotos_378541584-stock-photo-deer-passing-street-surrounded-people.jpg" TargetMode="External"/><Relationship Id="rId2126" Type="http://schemas.openxmlformats.org/officeDocument/2006/relationships/hyperlink" Target="https://images.unsplash.com/photo-1625565141751-8742de0ee1ff?w=400&amp;auto=format&amp;fit=crop&amp;q=60&amp;ixlib=rb-4.1.0&amp;ixid=M3wxMjA3fDB8MHxwaG90by1yZWxhdGVkfDE0fHx8ZW58MHx8fHx8" TargetMode="External"/><Relationship Id="rId2333" Type="http://schemas.openxmlformats.org/officeDocument/2006/relationships/hyperlink" Target="https://encrypted-tbn0.gstatic.com/images?q=tbn:ANd9GcTmzpW5ILbyjOtf2kmp0w0nAQyr1PO9IRJNSyfD1_FrJ4n_21Igw8gET2j3-bvIsGZr1Vg&amp;usqp=CAU" TargetMode="External"/><Relationship Id="rId305" Type="http://schemas.openxmlformats.org/officeDocument/2006/relationships/hyperlink" Target="https://media.istockphoto.com/id/1138882521/photo/crossing-the-street-in-san-franciscos-mission-district.jpg?s=612x612&amp;w=0&amp;k=20&amp;c=lAvxWIESjRZfzBYfaVFqwCJQyqZAy8Go3ajhsvovsW0=" TargetMode="External"/><Relationship Id="rId512" Type="http://schemas.openxmlformats.org/officeDocument/2006/relationships/hyperlink" Target="https://media.istockphoto.com/id/1264312873/photo/mother-and-child-on-crosswalk-street.jpg?s=612x612&amp;w=0&amp;k=20&amp;c=6uJ16_En3JW6hV5B9mOyQLgoKw9IZ6HR82MIL4R2iRI=" TargetMode="External"/><Relationship Id="rId1142" Type="http://schemas.openxmlformats.org/officeDocument/2006/relationships/hyperlink" Target="https://www.getready.qld.gov.au/sites/default/files/styles/hero_image_desktop_basic/public/2019-09/Wolfram%20Creek%20Road%20%282%29.jpg?itok=2en5pyhX" TargetMode="External"/><Relationship Id="rId86" Type="http://schemas.openxmlformats.org/officeDocument/2006/relationships/hyperlink" Target="https://media.gettyimages.com/id/1143801187/photo/young-girl-is-putting-lipstick-in-the-traffic-jam-in-rainy-day.jpg?s=612x612&amp;w=gi&amp;k=20&amp;c=Et3dGWYdv4VZDY3n6xdXWou6oo-5_Mf-h_W0Xr1xF1A=" TargetMode="External"/><Relationship Id="rId817" Type="http://schemas.openxmlformats.org/officeDocument/2006/relationships/hyperlink" Target="https://media.istockphoto.com/id/184106933/photo/white-truck-leaving-montreal.jpg?s=612x612&amp;w=0&amp;k=20&amp;c=lgqE9qgwZF6yOKLFqtYqre2rivHfwZFE_bzM7TQ3zL8=" TargetMode="External"/><Relationship Id="rId1002" Type="http://schemas.openxmlformats.org/officeDocument/2006/relationships/hyperlink" Target="https://st4.depositphotos.com/2843107/25659/i/450/depositphotos_256595566-stock-photo-australia-wa-perth.jpg" TargetMode="External"/><Relationship Id="rId1447" Type="http://schemas.openxmlformats.org/officeDocument/2006/relationships/hyperlink" Target="https://media.istockphoto.com/id/1854349596/photo/happy-african-american-family-enjoying-car-ride-together.jpg?s=612x612&amp;w=0&amp;k=20&amp;c=0HcmeSgvHFdaeLNSmuacFGhJ1p3Pr5cgIe4ooS_YWy0=" TargetMode="External"/><Relationship Id="rId1654" Type="http://schemas.openxmlformats.org/officeDocument/2006/relationships/hyperlink" Target="https://i.ytimg.com/vi/QOahnV7DJ2s/hq720.jpg?sqp=-oaymwEhCK4FEIIDSFryq4qpAxMIARUAAAAAGAElAADIQj0AgKJD&amp;rs=AOn4CLB05s_1_eFosTJ8_7MO7lj7l95VDg" TargetMode="External"/><Relationship Id="rId1861" Type="http://schemas.openxmlformats.org/officeDocument/2006/relationships/hyperlink" Target="https://media.istockphoto.com/id/1157121188/photo/white-repair-and-service-van-with-ladder-and-orange-light-bar-on-roof-at-city-street.jpg?s=612x612&amp;w=0&amp;k=20&amp;c=9tUocpHtWJSZ1OFpF_yrh1oVkhHqh_U93M1pzLPF_pI=" TargetMode="External"/><Relationship Id="rId1307" Type="http://schemas.openxmlformats.org/officeDocument/2006/relationships/hyperlink" Target="https://st.depositphotos.com/18723914/57465/i/380/depositphotos_574652022-stock-photo-kangaroo-road-kangaroo-island-australia.jpg" TargetMode="External"/><Relationship Id="rId1514" Type="http://schemas.openxmlformats.org/officeDocument/2006/relationships/hyperlink" Target="https://media.istockphoto.com/id/1045979216/photo/cars-moving-on-the-road-in-city-in-late-evening.jpg?s=612x612&amp;w=0&amp;k=20&amp;c=hFfW7WzeeR3X7FTmwkZ0u4_bBzRK1iJcZwisOgdJB3M=" TargetMode="External"/><Relationship Id="rId1721" Type="http://schemas.openxmlformats.org/officeDocument/2006/relationships/hyperlink" Target="https://injurylawyer.com/wp-content/uploads/2019/01/shutterstock_1219713949-e1546541020647.jpg.webp" TargetMode="External"/><Relationship Id="rId1959" Type="http://schemas.openxmlformats.org/officeDocument/2006/relationships/hyperlink" Target="https://media.istockphoto.com/id/1254690616/photo/car-and-caravan-on-holiday.jpg?s=612x612&amp;w=0&amp;k=20&amp;c=8-Uhp11nEE5TwOPn8WYr1kRM_BBn6IeT_MiALe6Wmos=" TargetMode="External"/><Relationship Id="rId13" Type="http://schemas.openxmlformats.org/officeDocument/2006/relationships/hyperlink" Target="https://www.johnsongarcialaw.com/wp-content/uploads/2020/12/Johnson-Garcia-blog-post-image_Common-signs-of-distracted-driving-scaled-1.jpg.webp" TargetMode="External"/><Relationship Id="rId1819" Type="http://schemas.openxmlformats.org/officeDocument/2006/relationships/hyperlink" Target="https://encrypted-tbn0.gstatic.com/images?q=tbn:ANd9GcS4VsR1-3hpcGO1v0omxVPJHogZBwC1O-UQIHMf_sSzztlSxwWsCXHrz6v31W4NLahPCTY&amp;usqp=CAU" TargetMode="External"/><Relationship Id="rId2190" Type="http://schemas.openxmlformats.org/officeDocument/2006/relationships/hyperlink" Target="https://st5.depositphotos.com/72897924/61726/i/450/depositphotos_617269340-stock-photo-african-people-street-senegal.jpg" TargetMode="External"/><Relationship Id="rId2288" Type="http://schemas.openxmlformats.org/officeDocument/2006/relationships/hyperlink" Target="https://media.istockphoto.com/id/1141023496/photo/trailer-load-of-trash.jpg?s=612x612&amp;w=0&amp;k=20&amp;c=8WtXL79RLz_3LU9h-ru337_rLfNO1nZjdccK4Yk_CaQ=" TargetMode="External"/><Relationship Id="rId162" Type="http://schemas.openxmlformats.org/officeDocument/2006/relationships/hyperlink" Target="https://images.pexels.com/photos/4084276/pexels-photo-4084276.jpeg" TargetMode="External"/><Relationship Id="rId467" Type="http://schemas.openxmlformats.org/officeDocument/2006/relationships/hyperlink" Target="https://images.unsplash.com/photo-1610210734809-1beaf51099c5?w=500&amp;auto=format&amp;fit=crop&amp;q=60&amp;ixlib=rb-4.1.0&amp;ixid=M3wxMjA3fDB8MHxzZWFyY2h8NzF8fHBlZGVzdHJpYW4lMjB3YWxraW5nJTIwZ3JlZW4lMjBsaWdodHxlbnwwfHwwfHx8MA%3D%3D" TargetMode="External"/><Relationship Id="rId1097" Type="http://schemas.openxmlformats.org/officeDocument/2006/relationships/hyperlink" Target="https://st3.depositphotos.com/9773578/16580/i/380/depositphotos_165803016-stock-photo-dead-wallaby-roadkill-in-australia.jpg" TargetMode="External"/><Relationship Id="rId2050" Type="http://schemas.openxmlformats.org/officeDocument/2006/relationships/hyperlink" Target="https://c8.alamy.com/comp/C4053X/dover-port-aerial-view-trucks-lorries-trailers-queuing-below-gantry-C4053X.jpg" TargetMode="External"/><Relationship Id="rId2148" Type="http://schemas.openxmlformats.org/officeDocument/2006/relationships/hyperlink" Target="https://www.arrivealive.mobi/ckfinder/userfiles/images/overload%20bakkie.jpg" TargetMode="External"/><Relationship Id="rId674" Type="http://schemas.openxmlformats.org/officeDocument/2006/relationships/hyperlink" Target="https://media.istockphoto.com/id/1404143018/photo/vertical-photo-of-women-crossing-the-street-together-while-using-a-mobile.jpg?s=612x612&amp;w=0&amp;k=20&amp;c=cnp2t6Yk-vLXLMOOMT6nsCEc2gTPVuxp25ZYUSlRWSw=" TargetMode="External"/><Relationship Id="rId881" Type="http://schemas.openxmlformats.org/officeDocument/2006/relationships/hyperlink" Target="https://media.istockphoto.com/id/1127254622/photo/heavy-but-fluid-traffic-on-the-a10-highway-in-france-by-a-sunny-day.jpg?s=612x612&amp;w=0&amp;k=20&amp;c=KwwoFrRzFSGMFznyuadEzGtPKbZmklURsp5BaE_nD6E=" TargetMode="External"/><Relationship Id="rId979" Type="http://schemas.openxmlformats.org/officeDocument/2006/relationships/hyperlink" Target="https://st3.depositphotos.com/30030580/34805/i/450/depositphotos_348056820-stock-photo-the-m1-motorway-is-at.jpg" TargetMode="External"/><Relationship Id="rId2355" Type="http://schemas.openxmlformats.org/officeDocument/2006/relationships/hyperlink" Target="https://www.truckloadaustralia.com.au/thumbnaillarge/M_full_img-dark2.jpg" TargetMode="External"/><Relationship Id="rId327" Type="http://schemas.openxmlformats.org/officeDocument/2006/relationships/hyperlink" Target="https://images.pexels.com/photos/8576222/pexels-photo-8576222.jpeg" TargetMode="External"/><Relationship Id="rId534" Type="http://schemas.openxmlformats.org/officeDocument/2006/relationships/hyperlink" Target="https://media.istockphoto.com/id/1165101627/photo/group-of-children-crossing-road-on-zebra-crossing.jpg?s=612x612&amp;w=0&amp;k=20&amp;c=lJqdR1cBzAXlx-LJ2Q4-K6XkBbsBUxOaHUudfbFXyvE=" TargetMode="External"/><Relationship Id="rId741" Type="http://schemas.openxmlformats.org/officeDocument/2006/relationships/hyperlink" Target="https://st.depositphotos.com/20024196/60003/i/380/depositphotos_600035298-stock-photo-london-may-2022-people-crossing.jpg" TargetMode="External"/><Relationship Id="rId839" Type="http://schemas.openxmlformats.org/officeDocument/2006/relationships/hyperlink" Target="https://st2.depositphotos.com/1035886/6468/i/450/depositphotos_64680483-stock-photo-perth-freeway-traffic.jpg" TargetMode="External"/><Relationship Id="rId1164" Type="http://schemas.openxmlformats.org/officeDocument/2006/relationships/hyperlink" Target="https://media.istockphoto.com/id/1040400108/photo/tree-across-power-lines-that-were-taken-out-by-hurricane-florence.jpg?s=612x612&amp;w=0&amp;k=20&amp;c=33-kanTCAEC4meB9ZYIQ9K6TlWz83B5Y6kKVjaKcSwk=" TargetMode="External"/><Relationship Id="rId1371" Type="http://schemas.openxmlformats.org/officeDocument/2006/relationships/hyperlink" Target="https://images.unsplash.com/photo-1689049844247-667754e34cda?w=500&amp;auto=format&amp;fit=crop&amp;q=60&amp;ixlib=rb-4.1.0&amp;ixid=M3wxMjA3fDB8MHxzZWFyY2h8MTV8fGNhciUyMGF0JTIwcmVkJTIwbGlnaHR8ZW58MHx8MHx8fDA%3D" TargetMode="External"/><Relationship Id="rId1469" Type="http://schemas.openxmlformats.org/officeDocument/2006/relationships/hyperlink" Target="https://images.unsplash.com/photo-1613642190115-ff38824cb2e2?w=500&amp;auto=format&amp;fit=crop&amp;q=60&amp;ixlib=rb-4.1.0&amp;ixid=M3wxMjA3fDB8MHxzZWFyY2h8Mnx8Y2FyJTIwYXQlMjByZWQlMjBsaWdodHxlbnwwfHwwfHx8MA%3D%3D" TargetMode="External"/><Relationship Id="rId2008" Type="http://schemas.openxmlformats.org/officeDocument/2006/relationships/hyperlink" Target="https://images.unsplash.com/photo-1618582948377-cd7eb0e8cb14?w=400&amp;auto=format&amp;fit=crop&amp;q=60&amp;ixlib=rb-4.1.0&amp;ixid=M3wxMjA3fDB8MHxzZWFyY2h8MjR8fHRydWNrfGVufDB8fDB8fHww" TargetMode="External"/><Relationship Id="rId2215" Type="http://schemas.openxmlformats.org/officeDocument/2006/relationships/hyperlink" Target="https://st5.depositphotos.com/31126772/68630/i/450/depositphotos_686303772-stock-photo-rooftop-cargo-carrier-bag-rear.jpg" TargetMode="External"/><Relationship Id="rId601" Type="http://schemas.openxmlformats.org/officeDocument/2006/relationships/hyperlink" Target="https://encrypted-tbn0.gstatic.com/images?q=tbn:ANd9GcQX-8X2GiyFIH3ouayGKWcUncDZogBtCN9sEpj3gjRsfCnwHMNeGNqJT5uLMAQM1uv53MQ&amp;usqp=CAU" TargetMode="External"/><Relationship Id="rId1024" Type="http://schemas.openxmlformats.org/officeDocument/2006/relationships/hyperlink" Target="https://st3.depositphotos.com/6570854/33326/i/450/depositphotos_333261878-stock-photo-the-princes-highway-is-a.jpg" TargetMode="External"/><Relationship Id="rId1231" Type="http://schemas.openxmlformats.org/officeDocument/2006/relationships/hyperlink" Target="https://media.istockphoto.com/id/157418325/photo/broken-road.jpg?s=612x612&amp;w=0&amp;k=20&amp;c=Jx-L77IURiKBm2r80zULrlf4BEkPPNFaXx2pL2QGpvk=" TargetMode="External"/><Relationship Id="rId1676" Type="http://schemas.openxmlformats.org/officeDocument/2006/relationships/hyperlink" Target="https://media.istockphoto.com/id/1143439122/photo/aerial-pedestrian-crowd-crossing-top-view.jpg?s=612x612&amp;w=0&amp;k=20&amp;c=r-nP1jEDXcx8I6iz4uv_H6zR0bw3LvJY1spadPxTYVE=" TargetMode="External"/><Relationship Id="rId1883" Type="http://schemas.openxmlformats.org/officeDocument/2006/relationships/hyperlink" Target="https://media.istockphoto.com/id/938116384/photo/truck-transporting-wood.jpg?s=612x612&amp;w=0&amp;k=20&amp;c=bpySouUP_1SQ_7LxBdtmulFnZ_5nN1L_vfnFm0lX5Ls=" TargetMode="External"/><Relationship Id="rId906" Type="http://schemas.openxmlformats.org/officeDocument/2006/relationships/hyperlink" Target="https://media.istockphoto.com/id/646995866/photo/sydney-traffic-out-of-focus-4k.jpg?s=612x612&amp;w=0&amp;k=20&amp;c=FrTfCATbIwh8ZGP4KNID3rURdPISFSN8tvqVitenCto=" TargetMode="External"/><Relationship Id="rId1329" Type="http://schemas.openxmlformats.org/officeDocument/2006/relationships/hyperlink" Target="https://media.istockphoto.com/id/1369294013/photo/wild-koala-in-australia.jpg?s=612x612&amp;w=0&amp;k=20&amp;c=mjTmGwmXTjtC1CRIQX0hKfYAqkshPfLhI5wqRYuvvew=" TargetMode="External"/><Relationship Id="rId1536" Type="http://schemas.openxmlformats.org/officeDocument/2006/relationships/hyperlink" Target="https://img.philkotse.com/temp/2024/07/27/inter-3c7b-wm-b688.webp" TargetMode="External"/><Relationship Id="rId1743" Type="http://schemas.openxmlformats.org/officeDocument/2006/relationships/hyperlink" Target="https://bicyclecoalition.org/wp-content/uploads/2018/09/1.jpg" TargetMode="External"/><Relationship Id="rId1950" Type="http://schemas.openxmlformats.org/officeDocument/2006/relationships/hyperlink" Target="https://st.depositphotos.com/1005951/55322/i/450/depositphotos_553222338-stock-photo-large-roof-box-storage-red.jpg" TargetMode="External"/><Relationship Id="rId35" Type="http://schemas.openxmlformats.org/officeDocument/2006/relationships/hyperlink" Target="https://st.depositphotos.com/1116685/3497/i/380/depositphotos_34979839-stock-photo-businesswoman-drinking-coffee-while-driving.jpg" TargetMode="External"/><Relationship Id="rId1603" Type="http://schemas.openxmlformats.org/officeDocument/2006/relationships/hyperlink" Target="https://media.istockphoto.com/id/115918871/photo/traffic-on-the-highway.jpg?s=612x612&amp;w=0&amp;k=20&amp;c=ukygLoucRNtLLEay-YuDa6hJIoFh0xGyzo8dI-VeTO8=" TargetMode="External"/><Relationship Id="rId1810" Type="http://schemas.openxmlformats.org/officeDocument/2006/relationships/hyperlink" Target="https://encrypted-tbn0.gstatic.com/images?q=tbn:ANd9GcSNWL4_Iyu-_7liBKlSnd4xZ2XxAKysOIuU4nppAS6I9opNAssS8aVU76BEd6x9JRBeomU&amp;usqp=CAU" TargetMode="External"/><Relationship Id="rId184" Type="http://schemas.openxmlformats.org/officeDocument/2006/relationships/hyperlink" Target="https://st3.depositphotos.com/13146722/33934/i/380/depositphotos_339345688-stock-photo-adult-male-caucasian-person-eating.jpg" TargetMode="External"/><Relationship Id="rId391" Type="http://schemas.openxmlformats.org/officeDocument/2006/relationships/hyperlink" Target="https://media.istockphoto.com/id/1287919965/photo/mother-and-son-crossing-street.jpg?s=612x612&amp;w=0&amp;k=20&amp;c=E5DZ93TJOCs7XKu3sVsrY_Hnq_HI3sPmVzw0x3KtJq0=" TargetMode="External"/><Relationship Id="rId1908" Type="http://schemas.openxmlformats.org/officeDocument/2006/relationships/hyperlink" Target="https://c8.alamy.com/comp/R91MPF/big-rig-long-haul-powerful-semi-truck-with-empty-light-weight-aluminum-flat-bed-semi-trailer-running-on-the-winter-road-in-convoy-with-another-semi-tr-R91MPF.jpg" TargetMode="External"/><Relationship Id="rId2072" Type="http://schemas.openxmlformats.org/officeDocument/2006/relationships/hyperlink" Target="https://media.istockphoto.com/id/474505090/photo/lorry-with-hay-bales.jpg?s=612x612&amp;w=0&amp;k=20&amp;c=g4DqkKG1ORHA5fmdcqdQjGfeEt6uiuGfDovhLCR4TGY=" TargetMode="External"/><Relationship Id="rId251" Type="http://schemas.openxmlformats.org/officeDocument/2006/relationships/hyperlink" Target="https://st.depositphotos.com/2534189/2866/i/380/depositphotos_28666549-stock-photo-man-at-wheel-using-cell.jpg" TargetMode="External"/><Relationship Id="rId489" Type="http://schemas.openxmlformats.org/officeDocument/2006/relationships/hyperlink" Target="https://images.pexels.com/photos/8576222/pexels-photo-8576222.jpeg" TargetMode="External"/><Relationship Id="rId696" Type="http://schemas.openxmlformats.org/officeDocument/2006/relationships/hyperlink" Target="https://media.istockphoto.com/id/2156838758/photo/woman-strolls-with-phone-and-ice-cream.jpg?s=612x612&amp;w=0&amp;k=20&amp;c=2wloP8A1JOFCsm2VAQRmqhfzWmblhpDTw8D5uGFtTcI=" TargetMode="External"/><Relationship Id="rId349" Type="http://schemas.openxmlformats.org/officeDocument/2006/relationships/hyperlink" Target="https://www.legalexaminer.com/wp-content/claris-images-uploads/pedestrian-crossing@large.jpg" TargetMode="External"/><Relationship Id="rId556" Type="http://schemas.openxmlformats.org/officeDocument/2006/relationships/hyperlink" Target="https://live.staticflickr.com/7157/6494132543_3bbc295cfc_b.jpg" TargetMode="External"/><Relationship Id="rId763" Type="http://schemas.openxmlformats.org/officeDocument/2006/relationships/hyperlink" Target="https://www.delawareonline.com/gcdn/presto/2018/08/06/PWIL/612222e6-c0f1-41ea-be23-6b0e7a355920-080618-Jaywalking-SP107.JPG" TargetMode="External"/><Relationship Id="rId1186" Type="http://schemas.openxmlformats.org/officeDocument/2006/relationships/hyperlink" Target="https://media.istockphoto.com/id/2167336094/photo/road-blocked-by-uprooted-tree-aftermath-of-severe-weather-in-poconos-forest-area.jpg?s=612x612&amp;w=0&amp;k=20&amp;c=nmN7n_ORML-fRbKqI5cii30ksjLIHoRSTVKcUyPKwhk=" TargetMode="External"/><Relationship Id="rId1393" Type="http://schemas.openxmlformats.org/officeDocument/2006/relationships/hyperlink" Target="https://media.istockphoto.com/id/617778720/photo/main-road-in-melbourne.jpg?s=612x612&amp;w=0&amp;k=20&amp;c=zDkc-Bg4VOUIxhUHukD7thrDu6oYQPpMeuBx_A08V1s=" TargetMode="External"/><Relationship Id="rId2237" Type="http://schemas.openxmlformats.org/officeDocument/2006/relationships/hyperlink" Target="https://st5.depositphotos.com/1178490/67323/i/450/depositphotos_673238216-stock-photo-trunk-cargo-box-roof-car.jpg" TargetMode="External"/><Relationship Id="rId111" Type="http://schemas.openxmlformats.org/officeDocument/2006/relationships/hyperlink" Target="https://www.iii.org/sites/default/files/p_woman_lipstick_drive_453162261.jpg" TargetMode="External"/><Relationship Id="rId209" Type="http://schemas.openxmlformats.org/officeDocument/2006/relationships/hyperlink" Target="https://st2.depositphotos.com/14799452/47325/i/380/depositphotos_473251100-stock-photo-happy-woman-eating-food-drinking.jpg" TargetMode="External"/><Relationship Id="rId416" Type="http://schemas.openxmlformats.org/officeDocument/2006/relationships/hyperlink" Target="https://media.istockphoto.com/id/1415122300/photo/a-mother-and-her-son-crossing-road-on-way-to-school.jpg?s=612x612&amp;w=0&amp;k=20&amp;c=AWKWp2uR3tG0yv4LzR1qeN5btTQU7hiS-RMOhUa-pW4=" TargetMode="External"/><Relationship Id="rId970" Type="http://schemas.openxmlformats.org/officeDocument/2006/relationships/hyperlink" Target="https://st.depositphotos.com/6570854/53660/i/450/depositphotos_536607132-stock-photo-roads-australia-victoria-suburb-melbourne.jpg" TargetMode="External"/><Relationship Id="rId1046" Type="http://schemas.openxmlformats.org/officeDocument/2006/relationships/hyperlink" Target="https://media.istockphoto.com/id/1411145066/photo/busy-traffic-intersection-and-light-rail-bridge-shot-from-above.jpg?s=612x612&amp;w=0&amp;k=20&amp;c=l8JfgIEYie0Vhqikcck8genLfMOYBAWHw0tiAGfE_lQ=" TargetMode="External"/><Relationship Id="rId1253" Type="http://schemas.openxmlformats.org/officeDocument/2006/relationships/hyperlink" Target="https://media.istockphoto.com/id/171276431/photo/storm-damaged-traffic-light.jpg?s=612x612&amp;w=0&amp;k=20&amp;c=X1vrx9gCvbZnLQ4UPcBSW7V0TU8s0pIfMzH9kbM7H6I=" TargetMode="External"/><Relationship Id="rId1698" Type="http://schemas.openxmlformats.org/officeDocument/2006/relationships/hyperlink" Target="https://tse2.mm.bing.net/th/id/OIP.hepp42cIKG2BKRSmveec_gHaE8?r=0&amp;pid=Api" TargetMode="External"/><Relationship Id="rId623" Type="http://schemas.openxmlformats.org/officeDocument/2006/relationships/hyperlink" Target="https://live.staticflickr.com/7157/6494132543_3bbc295cfc_b.jpg" TargetMode="External"/><Relationship Id="rId830" Type="http://schemas.openxmlformats.org/officeDocument/2006/relationships/hyperlink" Target="https://media.istockphoto.com/id/1057809092/photo/russian-roads-in-karelia-travel-by-road-asphalt-road-smooth-road.jpg?s=612x612&amp;w=0&amp;k=20&amp;c=fBouhuAtPjuQ9Uzzr9epMXNGCgt-MsLoZGRRCMdMcCY=" TargetMode="External"/><Relationship Id="rId928" Type="http://schemas.openxmlformats.org/officeDocument/2006/relationships/hyperlink" Target="https://media.istockphoto.com/id/2178353298/photo/a-road-with-a-white-line-down-the-middle-and-a-yellow-line-on-the-side.jpg?s=612x612&amp;w=0&amp;k=20&amp;c=pqIhn96bLGu2jqyVNpkw8TtaEyDR2_L1cow82kwIf3s=" TargetMode="External"/><Relationship Id="rId1460" Type="http://schemas.openxmlformats.org/officeDocument/2006/relationships/hyperlink" Target="https://media.istockphoto.com/id/510399253/photo/busy-highway.jpg?s=612x612&amp;w=0&amp;k=20&amp;c=ex27rahrcjx2ZDB5qJgSKgTPqEzx6IBTeRhg75aGrz4=" TargetMode="External"/><Relationship Id="rId1558" Type="http://schemas.openxmlformats.org/officeDocument/2006/relationships/hyperlink" Target="https://media.istockphoto.com/id/510399253/photo/busy-highway.jpg?s=612x612&amp;w=0&amp;k=20&amp;c=ex27rahrcjx2ZDB5qJgSKgTPqEzx6IBTeRhg75aGrz4=" TargetMode="External"/><Relationship Id="rId1765" Type="http://schemas.openxmlformats.org/officeDocument/2006/relationships/hyperlink" Target="https://content.api.news/v3/images/bin/f00be14e21f7d2e52bc4078c0d8bef4b" TargetMode="External"/><Relationship Id="rId2304" Type="http://schemas.openxmlformats.org/officeDocument/2006/relationships/hyperlink" Target="https://media.istockphoto.com/id/545245882/photo/truck-with-hay-on-a-road.jpg?s=612x612&amp;w=0&amp;k=20&amp;c=cngGF2v1nloJsXKgO3QhDglEjd3TajzmBhyLQLuog-A=" TargetMode="External"/><Relationship Id="rId57" Type="http://schemas.openxmlformats.org/officeDocument/2006/relationships/hyperlink" Target="https://media.istockphoto.com/id/1073413506/photo/traveling-with-my-best-friend.jpg?b=1&amp;s=612x612&amp;w=0&amp;k=20&amp;c=lvzmPaFUveIQUT6lNYrK1IIdLct2ZQZRvGrusOrcP7s=" TargetMode="External"/><Relationship Id="rId1113" Type="http://schemas.openxmlformats.org/officeDocument/2006/relationships/hyperlink" Target="https://mesquitelocalnews.com/wp-content/uploads/2024/06/manholecoversdirect-314981-trafficpotholerubble-image1.jpg" TargetMode="External"/><Relationship Id="rId1320" Type="http://schemas.openxmlformats.org/officeDocument/2006/relationships/hyperlink" Target="https://media.istockphoto.com/id/92809152/photo/kangaroo-crossing-in-front-of-a-sign.jpg?s=612x612&amp;w=0&amp;k=20&amp;c=YVAYDEuESIp-Dbi7snyZHosiKr9wdIfYZk58inkDNU8=" TargetMode="External"/><Relationship Id="rId1418" Type="http://schemas.openxmlformats.org/officeDocument/2006/relationships/hyperlink" Target="https://media.istockphoto.com/id/522564791/photo/winter-sun-on-sunday-motorway-traffic-essex-england.jpg?s=1024x1024&amp;w=is&amp;k=20&amp;c=LX2usWbX5L7lIkT_62x8090Umn61U4iD-DEIScFRP88=" TargetMode="External"/><Relationship Id="rId1972" Type="http://schemas.openxmlformats.org/officeDocument/2006/relationships/hyperlink" Target="https://media.istockphoto.com/id/697702430/photo/car-with-two-canoes-on-top-roof-in-mountains.jpg?s=612x612&amp;w=0&amp;k=20&amp;c=ZnXjhpQMEC5b4jcAZJrv-rGkNp5aFLrJl-Ibn0cNtsc=" TargetMode="External"/><Relationship Id="rId1625" Type="http://schemas.openxmlformats.org/officeDocument/2006/relationships/hyperlink" Target="https://images.carexpert.com.au/resize/960/-/app/uploads/2023/08/blocked-intersection-3.jpg" TargetMode="External"/><Relationship Id="rId1832" Type="http://schemas.openxmlformats.org/officeDocument/2006/relationships/hyperlink" Target="https://encrypted-tbn0.gstatic.com/images?q=tbn:ANd9GcS_10gIXc51bXb5xQEhp7rGDMhdeby_y2r0SweM6FN7cqETJ4pF9ZTY_eDlSwrEKbY7TAg&amp;usqp=CAU" TargetMode="External"/><Relationship Id="rId2094" Type="http://schemas.openxmlformats.org/officeDocument/2006/relationships/hyperlink" Target="https://c8.alamy.com/comp/RMTBRR/overloaded-truck-on-a-country-road-in-rajasthan-trucks-carrying-heavy-loads-characterize-traffic-in-india-RMTBRR.jpg" TargetMode="External"/><Relationship Id="rId273" Type="http://schemas.openxmlformats.org/officeDocument/2006/relationships/hyperlink" Target="https://st2.depositphotos.com/3947277/5734/i/380/depositphotos_57340311-stock-photo-african-woman-stuck-in-traffic.jpg" TargetMode="External"/><Relationship Id="rId480" Type="http://schemas.openxmlformats.org/officeDocument/2006/relationships/hyperlink" Target="https://images.unsplash.com/photo-1623029861914-bd883be5969e?w=500&amp;auto=format&amp;fit=crop&amp;q=60&amp;ixlib=rb-4.1.0&amp;ixid=M3wxMjA3fDB8MHxzZWFyY2h8MTIyfHxwZWRlc3RyaWFuJTIwd2Fsa2luZyUyMGdyZWVuJTIwbGlnaHR8ZW58MHx8MHx8fDA%3D" TargetMode="External"/><Relationship Id="rId2161" Type="http://schemas.openxmlformats.org/officeDocument/2006/relationships/hyperlink" Target="https://www.shutterstock.com/image-photo/plasencia-spain-may-01-2022-260nw-2244693823.jpg" TargetMode="External"/><Relationship Id="rId133" Type="http://schemas.openxmlformats.org/officeDocument/2006/relationships/hyperlink" Target="https://encrypted-tbn0.gstatic.com/images?q=tbn:ANd9GcTUS4Iz29HjVQQXCjQRjZz9xUR0wyC8o-Me6Q&amp;s" TargetMode="External"/><Relationship Id="rId340" Type="http://schemas.openxmlformats.org/officeDocument/2006/relationships/hyperlink" Target="https://images.unsplash.com/photo-1727703551558-fac2cc06bf67?w=500&amp;auto=format&amp;fit=crop&amp;q=60&amp;ixlib=rb-4.1.0&amp;ixid=M3wxMjA3fDB8MHxwaG90by1yZWxhdGVkfDd8fHxlbnwwfHx8fHw%3D" TargetMode="External"/><Relationship Id="rId578" Type="http://schemas.openxmlformats.org/officeDocument/2006/relationships/hyperlink" Target="https://media.istockphoto.com/id/1386843956/photo/pedestrians-on-the-street.jpg?s=612x612&amp;w=0&amp;k=20&amp;c=LPq5UdnOzElFy33YpwEKXjl5ZHe0o7qIEE4_9kT0j4U=" TargetMode="External"/><Relationship Id="rId785" Type="http://schemas.openxmlformats.org/officeDocument/2006/relationships/hyperlink" Target="https://st4.depositphotos.com/21607914/23781/i/380/depositphotos_237813492-stock-photo-chinese-jaywalkers-walk-road-nanjing.jpg" TargetMode="External"/><Relationship Id="rId992" Type="http://schemas.openxmlformats.org/officeDocument/2006/relationships/hyperlink" Target="https://st4.depositphotos.com/13485624/22136/i/450/depositphotos_221361216-stock-photo-melbourne-australia-january-2018-entrance.jpg" TargetMode="External"/><Relationship Id="rId2021" Type="http://schemas.openxmlformats.org/officeDocument/2006/relationships/hyperlink" Target="https://media.istockphoto.com/id/157286698/photo/tow-truck-hauling-a-new-red-car.jpg?s=612x612&amp;w=0&amp;k=20&amp;c=RY6v23MkyjhBjLw7HNhnvUWQqNqmGX4SbR5Y1P1ScE8=" TargetMode="External"/><Relationship Id="rId2259" Type="http://schemas.openxmlformats.org/officeDocument/2006/relationships/hyperlink" Target="https://st4.depositphotos.com/1001433/22244/i/450/depositphotos_222443128-stock-photo-india-pune-april-2018-indian.jpg" TargetMode="External"/><Relationship Id="rId200" Type="http://schemas.openxmlformats.org/officeDocument/2006/relationships/hyperlink" Target="https://st5.depositphotos.com/4395427/66280/i/380/depositphotos_662804030-stock-photo-asian-woman-bad-eating-habits.jpg" TargetMode="External"/><Relationship Id="rId438" Type="http://schemas.openxmlformats.org/officeDocument/2006/relationships/hyperlink" Target="https://media.istockphoto.com/id/1288149637/photo/young-happy-intercultural-friends-having-drinks-and-talking-while-crossing-road.jpg?s=612x612&amp;w=0&amp;k=20&amp;c=4eYg7B05aIBl2nF6hPlUJEniQuOMQZKj4ZWt93FZoIo=" TargetMode="External"/><Relationship Id="rId645" Type="http://schemas.openxmlformats.org/officeDocument/2006/relationships/hyperlink" Target="https://media.istockphoto.com/id/1186042762/photo/kid-crossing-the-street-at-a-pedestrian-crossing-and-listening-to-music-on-his-cellphone.jpg?s=612x612&amp;w=0&amp;k=20&amp;c=jxuKkuDgIUc7Fwb4NJX1vE2dQciu7OPEouWXG3FKvPY=" TargetMode="External"/><Relationship Id="rId852" Type="http://schemas.openxmlformats.org/officeDocument/2006/relationships/hyperlink" Target="https://st3.depositphotos.com/6570854/33326/i/450/depositphotos_333261878-stock-photo-the-princes-highway-is-a.jpg" TargetMode="External"/><Relationship Id="rId1068" Type="http://schemas.openxmlformats.org/officeDocument/2006/relationships/hyperlink" Target="https://media.istockphoto.com/id/488493470/photo/wind-storm-damage.jpg?s=612x612&amp;w=0&amp;k=20&amp;c=G4CClLf4XXmKi5pnLF_-LloAjG56rONVgFFzuLCOF7o=" TargetMode="External"/><Relationship Id="rId1275" Type="http://schemas.openxmlformats.org/officeDocument/2006/relationships/hyperlink" Target="https://st4.depositphotos.com/2716431/31034/i/380/depositphotos_310340822-stock-photo-reindeers-crossing-a-road-in.jpg" TargetMode="External"/><Relationship Id="rId1482" Type="http://schemas.openxmlformats.org/officeDocument/2006/relationships/hyperlink" Target="https://images.unsplash.com/photo-1598735961233-dbb3b204ba78?w=500&amp;auto=format&amp;fit=crop&amp;q=60&amp;ixlib=rb-4.1.0&amp;ixid=M3wxMjA3fDB8MHxzZWFyY2h8MTh8fGNhciUyMGF0JTIwcmVkJTIwbGlnaHR8ZW58MHx8MHx8fDA%3D" TargetMode="External"/><Relationship Id="rId2119" Type="http://schemas.openxmlformats.org/officeDocument/2006/relationships/hyperlink" Target="https://st3.depositphotos.com/2047341/13195/i/450/depositphotos_131953698-stock-photo-trucks-in-sudan-at-the.jpg" TargetMode="External"/><Relationship Id="rId2326" Type="http://schemas.openxmlformats.org/officeDocument/2006/relationships/hyperlink" Target="https://encrypted-tbn0.gstatic.com/images?q=tbn:ANd9GcRt8AZ6bg6Uws0AjZQdGVrJFoPHUW2c2mGsJw&amp;s" TargetMode="External"/><Relationship Id="rId505" Type="http://schemas.openxmlformats.org/officeDocument/2006/relationships/hyperlink" Target="https://media.istockphoto.com/id/1482838658/photo/father-and-children-crossing-road-on-pedestrian-crosswalk.jpg?s=612x612&amp;w=0&amp;k=20&amp;c=DgHIEw_HLqnrq6hl_dSdhHLIHhuZzHHEthwcDo7yMyc=" TargetMode="External"/><Relationship Id="rId712" Type="http://schemas.openxmlformats.org/officeDocument/2006/relationships/hyperlink" Target="https://media.istockphoto.com/id/1386843956/photo/pedestrians-on-the-street.jpg?s=612x612&amp;w=0&amp;k=20&amp;c=LPq5UdnOzElFy33YpwEKXjl5ZHe0o7qIEE4_9kT0j4U=" TargetMode="External"/><Relationship Id="rId1135" Type="http://schemas.openxmlformats.org/officeDocument/2006/relationships/hyperlink" Target="https://media.istockphoto.com/id/460744007/photo/night-driving.jpg?s=612x612&amp;w=0&amp;k=20&amp;c=-gzQPmNt91FhMccpYK93LiJsdtfeLFeazj-xST2bYQU=" TargetMode="External"/><Relationship Id="rId1342" Type="http://schemas.openxmlformats.org/officeDocument/2006/relationships/hyperlink" Target="https://media.istockphoto.com/id/157646190/photo/flooded-road-hail-storm.jpg?s=612x612&amp;w=0&amp;k=20&amp;c=ZVH6F-pmSIOu_3kKegdfURPYO_5j_j0-c5hydn68tDI=" TargetMode="External"/><Relationship Id="rId1787" Type="http://schemas.openxmlformats.org/officeDocument/2006/relationships/hyperlink" Target="https://media.istockphoto.com/id/1323332711/photo/a-very-busy-sydney-road-in-brunswick-in-the-early-evening-light.jpg?s=612x612&amp;w=0&amp;k=20&amp;c=CIiTSAHjBbZcQkKeQ3lKgEy7rK6WqbgHcS1dMBow1a4=" TargetMode="External"/><Relationship Id="rId1994" Type="http://schemas.openxmlformats.org/officeDocument/2006/relationships/hyperlink" Target="https://media.istockphoto.com/id/2171315695/photo/car-for-traveling-with-a-mountain-road.jpg?s=612x612&amp;w=0&amp;k=20&amp;c=4Sas1Ppp5J6KYGiJPRvlDonYGuTOVPmia0j4wmhkWN8=" TargetMode="External"/><Relationship Id="rId79" Type="http://schemas.openxmlformats.org/officeDocument/2006/relationships/hyperlink" Target="https://media.istockphoto.com/id/2157480611/photo/mother-and-son-behind-the-wheel-of-the-vehicle-and-speed-face-transportation-and-family.jpg?s=1024x1024&amp;w=is&amp;k=20&amp;c=4FTXONZ1lRzx3lgQeb3SDCIGUYzprDQUe6PmXshTd1w=" TargetMode="External"/><Relationship Id="rId1202" Type="http://schemas.openxmlformats.org/officeDocument/2006/relationships/hyperlink" Target="https://media.istockphoto.com/id/898963320/photo/waterfilled-pothole-on-asphalted-road.jpg?s=612x612&amp;w=0&amp;k=20&amp;c=Kk9Nee9qN8Gu6dcjaI8tlGl8580GncHSq1D8cHxtSRc=" TargetMode="External"/><Relationship Id="rId1647" Type="http://schemas.openxmlformats.org/officeDocument/2006/relationships/hyperlink" Target="https://www.waikatotimes.co.nz/media/images/9Tzi8ywRz924XE3uHaD6DZ3Ef+IdbOiYlvIROR5vlqUeRrexTocZGobKRJ9od%2Fgnk3B%2FCeKTmTAsIjj6Q0YaYb9O2YpAGpC3fY+e4MW+eL23rOfWHa1s5vawlRMxcPDGQhZHBI9zy+lJTa497PoX39Tfn7VlcMzs32LGzlfvJqg9ZIzYi8E4rNP+jifNZ3kVdn0QmCNAuGRHufJWuUQsOA==?resolution=620x350" TargetMode="External"/><Relationship Id="rId1854" Type="http://schemas.openxmlformats.org/officeDocument/2006/relationships/hyperlink" Target="https://media.istockphoto.com/id/1279199341/photo/icefields-parkway-adventure-canadian-rockies-alberta-canada.jpg?s=612x612&amp;w=0&amp;k=20&amp;c=W9RjbAXCzJtWRo_I4BXDfybgoxS344jpfmNf4bjoZdE=" TargetMode="External"/><Relationship Id="rId1507" Type="http://schemas.openxmlformats.org/officeDocument/2006/relationships/hyperlink" Target="https://media.istockphoto.com/id/857615658/photo/city-traffic-detroit-michigan.jpg?s=612x612&amp;w=0&amp;k=20&amp;c=SQQzgvaB_encu2adj2Uge5pMAGKlA8A1th1KaUTPJNw=" TargetMode="External"/><Relationship Id="rId1714" Type="http://schemas.openxmlformats.org/officeDocument/2006/relationships/hyperlink" Target="https://media.gettyimages.com/id/1255452931/photo/automobiles-run-a-red-light-at-the-intersection-at-houston-avenue-and-memorial-drive-in.jpg?s=612x612&amp;w=gi&amp;k=20&amp;c=WzSC2ckV-TxEUcvrSy4UNqqLnci7pI81KeUjhKn3GCc=" TargetMode="External"/><Relationship Id="rId295" Type="http://schemas.openxmlformats.org/officeDocument/2006/relationships/hyperlink" Target="https://c8.alamy.com/comp/HNYN5C/frankfurt-germany-march-20-2009-children-crossing-street-with-guiding-HNYN5C.jpg" TargetMode="External"/><Relationship Id="rId1921" Type="http://schemas.openxmlformats.org/officeDocument/2006/relationships/hyperlink" Target="https://compactequip.com/wp-content/uploads/2019/04/atlas-copco-qas-generator-easy-transport.jpg" TargetMode="External"/><Relationship Id="rId2183" Type="http://schemas.openxmlformats.org/officeDocument/2006/relationships/hyperlink" Target="https://st5.depositphotos.com/49678184/72426/i/380/depositphotos_724268454-stock-photo-rear-view-overloaded-van-traveling.jpg" TargetMode="External"/><Relationship Id="rId155" Type="http://schemas.openxmlformats.org/officeDocument/2006/relationships/hyperlink" Target="https://images.pexels.com/photos/6529871/pexels-photo-6529871.jpeg" TargetMode="External"/><Relationship Id="rId362" Type="http://schemas.openxmlformats.org/officeDocument/2006/relationships/hyperlink" Target="https://c8.alamy.com/comp/HNYN5C/frankfurt-germany-march-20-2009-children-crossing-street-with-guiding-HNYN5C.jpg" TargetMode="External"/><Relationship Id="rId1297" Type="http://schemas.openxmlformats.org/officeDocument/2006/relationships/hyperlink" Target="https://st3.depositphotos.com/9773578/16580/i/380/depositphotos_165803016-stock-photo-dead-wallaby-roadkill-in-australia.jpg" TargetMode="External"/><Relationship Id="rId2043" Type="http://schemas.openxmlformats.org/officeDocument/2006/relationships/hyperlink" Target="https://media.istockphoto.com/id/1423325870/photo/tow-truck-transportation.jpg?s=612x612&amp;w=0&amp;k=20&amp;c=EeLFErlEi3n7k9Yfn_Gcuja6cJwf41ISci3q8f6HVuw=" TargetMode="External"/><Relationship Id="rId2250" Type="http://schemas.openxmlformats.org/officeDocument/2006/relationships/hyperlink" Target="https://st3.depositphotos.com/2047341/13195/i/450/depositphotos_131953698-stock-photo-trucks-in-sudan-at-the.jpg" TargetMode="External"/><Relationship Id="rId222" Type="http://schemas.openxmlformats.org/officeDocument/2006/relationships/hyperlink" Target="https://st3.depositphotos.com/1003697/12762/i/380/depositphotos_127620912-stock-photo-woman-making-makeup-while-driving.jpg" TargetMode="External"/><Relationship Id="rId667" Type="http://schemas.openxmlformats.org/officeDocument/2006/relationships/hyperlink" Target="https://media.istockphoto.com/id/1069139482/photo/family-crossing-crosswalk-in-the-city.jpg?s=612x612&amp;w=0&amp;k=20&amp;c=ELSL13y8tNga1TwcTQsxiPPbod01qHEOF6iDswq53Ok=" TargetMode="External"/><Relationship Id="rId874" Type="http://schemas.openxmlformats.org/officeDocument/2006/relationships/hyperlink" Target="https://images.unsplash.com/photo-1589828155685-83225f7d91f3?fm=jpg&amp;q=60&amp;w=3000&amp;ixlib=rb-4.1.0&amp;ixid=M3wxMjA3fDB8MHxzZWFyY2h8Mnx8cm9hZCUyMHdpdGglMjBjYXJzfGVufDB8fDB8fHww" TargetMode="External"/><Relationship Id="rId2110" Type="http://schemas.openxmlformats.org/officeDocument/2006/relationships/hyperlink" Target="https://st5.depositphotos.com/31126772/68630/i/450/depositphotos_686303772-stock-photo-rooftop-cargo-carrier-bag-rear.jpg" TargetMode="External"/><Relationship Id="rId2348" Type="http://schemas.openxmlformats.org/officeDocument/2006/relationships/hyperlink" Target="https://images.unsplash.com/photo-1724044443584-ec54bd0f24c7?w=500&amp;auto=format&amp;fit=crop&amp;q=60&amp;ixlib=rb-4.1.0&amp;ixid=M3wxMjA3fDB8MHxwaG90by1yZWxhdGVkfDF8fHxlbnwwfHx8fHw%3D" TargetMode="External"/><Relationship Id="rId527" Type="http://schemas.openxmlformats.org/officeDocument/2006/relationships/hyperlink" Target="https://media.istockphoto.com/id/1553389979/photo/young-women-cross-the-road-at-pedestrian-crossing-in-modern-european-city.jpg?s=612x612&amp;w=0&amp;k=20&amp;c=ibdkOIekYFW-bB1abkTC6x1jUuK-TnPeQboi5-D5o9w=" TargetMode="External"/><Relationship Id="rId734" Type="http://schemas.openxmlformats.org/officeDocument/2006/relationships/hyperlink" Target="https://media.istockphoto.com/id/1086855128/photo/shopping-street-melbourne-australia.jpg?s=612x612&amp;w=0&amp;k=20&amp;c=OmP0emjl1yAc9cJzIqLosa8CC6BsZTJgiXHh6rHg7Yo=" TargetMode="External"/><Relationship Id="rId941" Type="http://schemas.openxmlformats.org/officeDocument/2006/relationships/hyperlink" Target="https://media.istockphoto.com/id/1206248128/photo/beautiful-asphalt-road-with-turns-through-the-schwarzwald-forest-in-germany.jpg?s=612x612&amp;w=0&amp;k=20&amp;c=GiEBX8vDCsZp80RgCTnMAmaGNbcGBXCviIGQysDnpsg=" TargetMode="External"/><Relationship Id="rId1157" Type="http://schemas.openxmlformats.org/officeDocument/2006/relationships/hyperlink" Target="https://media.istockphoto.com/id/969500140/photo/car-accident.jpg?s=612x612&amp;w=0&amp;k=20&amp;c=5cWFdm3PKaNVLwPQfrGcqvDqgl5SLc8AA38BP_XVPAI=" TargetMode="External"/><Relationship Id="rId1364" Type="http://schemas.openxmlformats.org/officeDocument/2006/relationships/hyperlink" Target="https://media.istockphoto.com/id/1030960660/photo/mother-turns-around-to-her-children-on-the-back-seat-of-car.jpg?s=612x612&amp;w=0&amp;k=20&amp;c=HSZB_HqQw2z6dnvlQmN_UA91pbwrepZufpYwOHM7Y1o=" TargetMode="External"/><Relationship Id="rId1571" Type="http://schemas.openxmlformats.org/officeDocument/2006/relationships/hyperlink" Target="https://media.istockphoto.com/id/542076936/photo/sydney-road-brunswick.jpg?s=612x612&amp;w=0&amp;k=20&amp;c=mlJ7tgkOqwfE-Xp3G5nm_oBEc27HoXE_amTr8cwW690=" TargetMode="External"/><Relationship Id="rId2208" Type="http://schemas.openxmlformats.org/officeDocument/2006/relationships/hyperlink" Target="https://media.istockphoto.com/id/1300549747/photo/mattress-on-car-roof-dacia-logan-carrying-mattresses-on-roof-in-bucharest-romania-2021.jpg?s=612x612&amp;w=0&amp;k=20&amp;c=vfIVDFnyWn_DNQ9DLOExrokzRfWlQyVAKmxblWQHOg0=" TargetMode="External"/><Relationship Id="rId70" Type="http://schemas.openxmlformats.org/officeDocument/2006/relationships/hyperlink" Target="https://cdn.bookingtimes.com/Common/LoadImage?Id=98991&amp;v=1" TargetMode="External"/><Relationship Id="rId801" Type="http://schemas.openxmlformats.org/officeDocument/2006/relationships/hyperlink" Target="https://www.metro.us/wp-content/uploads/2020/03/4_Jaywalking_080116_DSC_9573_2016-Derek-Kouyoumjian_2-scaled.jpg?quality=51&amp;w=1200" TargetMode="External"/><Relationship Id="rId1017" Type="http://schemas.openxmlformats.org/officeDocument/2006/relationships/hyperlink" Target="https://st5.depositphotos.com/56294224/66484/i/450/depositphotos_664843884-stock-photo-melbourne-victoria-australia-2019-aami.jpg" TargetMode="External"/><Relationship Id="rId1224" Type="http://schemas.openxmlformats.org/officeDocument/2006/relationships/hyperlink" Target="https://media.istockphoto.com/id/1776289528/photo/potholes-on-bad-asphalt-road-closeup.jpg?s=612x612&amp;w=0&amp;k=20&amp;c=1ChB5XXjK52dTOOPWXKawhvo_AsjZCfpTSdQ0DOWrOI=" TargetMode="External"/><Relationship Id="rId1431" Type="http://schemas.openxmlformats.org/officeDocument/2006/relationships/hyperlink" Target="https://www.travelandleisure.com/thmb/Q2RsMvQNGug4fX5IFuML-5coY5s=/1500x0/filters:no_upscale():max_bytes(150000):strip_icc()/TAL-crowds-WHENBRISBANE1124-9c0850cf61b74e0e96baf19a857524df.jpg" TargetMode="External"/><Relationship Id="rId1669" Type="http://schemas.openxmlformats.org/officeDocument/2006/relationships/hyperlink" Target="https://images.tribuneindia.com/cms/gall_content/2015/9/2015_9$largeimg15_Tuesday_2015_230629386.jpg" TargetMode="External"/><Relationship Id="rId1876" Type="http://schemas.openxmlformats.org/officeDocument/2006/relationships/hyperlink" Target="https://images.unsplash.com/photo-1707905862671-5227ea6099ef?w=400&amp;auto=format&amp;fit=crop&amp;q=60&amp;ixlib=rb-4.1.0&amp;ixid=M3wxMjA3fDB8MHxzZWFyY2h8NHx8dHJ1Y2slMjBjYXJyeWluZ3xlbnwwfHwwfHx8MA%3D%3D" TargetMode="External"/><Relationship Id="rId1529" Type="http://schemas.openxmlformats.org/officeDocument/2006/relationships/hyperlink" Target="https://cyclingsavvy.org/wp-content/uploads/2022/12/multiple-yelds.jpg" TargetMode="External"/><Relationship Id="rId1736" Type="http://schemas.openxmlformats.org/officeDocument/2006/relationships/hyperlink" Target="https://www.heraldnet.com/wp-content/uploads/2019/01/14686101_web1_M-Stop-Sign-EDH-190122.jpg" TargetMode="External"/><Relationship Id="rId1943" Type="http://schemas.openxmlformats.org/officeDocument/2006/relationships/hyperlink" Target="https://media.istockphoto.com/id/1279199341/photo/icefields-parkway-adventure-canadian-rockies-alberta-canada.jpg?s=612x612&amp;w=0&amp;k=20&amp;c=W9RjbAXCzJtWRo_I4BXDfybgoxS344jpfmNf4bjoZdE=" TargetMode="External"/><Relationship Id="rId28" Type="http://schemas.openxmlformats.org/officeDocument/2006/relationships/hyperlink" Target="https://media.istockphoto.com/id/2024952271/photo/asian-lady-holding-hamburger-and-french-fries-to-eat-in-car-dangerous-and-risk-an-accident.webp?s=2048x2048&amp;w=is&amp;k=20&amp;c=bw7NsEOEORfD3GSkyGj8xugiS-xpk5BXFyh-2TyOGrg=" TargetMode="External"/><Relationship Id="rId1803" Type="http://schemas.openxmlformats.org/officeDocument/2006/relationships/hyperlink" Target="https://encrypted-tbn0.gstatic.com/images?q=tbn:ANd9GcShdFkZ1roWoOOWiTVKWrsrU45SPtgoq_GQNk1xohSyiQBEYCPv9hvFuoMYNo9RmgF3AYg&amp;usqp=CAU" TargetMode="External"/><Relationship Id="rId177" Type="http://schemas.openxmlformats.org/officeDocument/2006/relationships/hyperlink" Target="https://st3.depositphotos.com/1761743/16656/i/380/depositphotos_166565754-stock-photo-man-eating-an-hamburger-while.jpg" TargetMode="External"/><Relationship Id="rId384" Type="http://schemas.openxmlformats.org/officeDocument/2006/relationships/hyperlink" Target="https://media.istockphoto.com/id/1457298174/photo/citizens-crossing-crowded-zebra-wide-shot.jpg?s=612x612&amp;w=0&amp;k=20&amp;c=T5VpBcBqvmb0qm92Nd8r36AiS2ArCTtgvhPN3CrBi8Y=" TargetMode="External"/><Relationship Id="rId591" Type="http://schemas.openxmlformats.org/officeDocument/2006/relationships/hyperlink" Target="https://www.delawareonline.com/gcdn/presto/2018/08/06/PWIL/612222e6-c0f1-41ea-be23-6b0e7a355920-080618-Jaywalking-SP107.JPG" TargetMode="External"/><Relationship Id="rId2065" Type="http://schemas.openxmlformats.org/officeDocument/2006/relationships/hyperlink" Target="https://cdn.pixabay.com/photo/2021/12/04/00/29/truck-6844140_640.jpg" TargetMode="External"/><Relationship Id="rId2272" Type="http://schemas.openxmlformats.org/officeDocument/2006/relationships/hyperlink" Target="https://st3.depositphotos.com/2047341/14695/i/450/depositphotos_146959423-stock-photo-the-mercato-market-of-addis.jpg" TargetMode="External"/><Relationship Id="rId244" Type="http://schemas.openxmlformats.org/officeDocument/2006/relationships/hyperlink" Target="https://st2.depositphotos.com/1735158/6602/i/380/depositphotos_66027449-stock-photo-girl-doing-make-up-while.jpg" TargetMode="External"/><Relationship Id="rId689" Type="http://schemas.openxmlformats.org/officeDocument/2006/relationships/hyperlink" Target="https://media.istockphoto.com/id/1208387257/photo/pedestrian-checking-her-phone.jpg?s=612x612&amp;w=0&amp;k=20&amp;c=258Ds2jTEaGyAq1EUVxlbQeXt-q-gaZ2rUPiV1QMPTc=" TargetMode="External"/><Relationship Id="rId896" Type="http://schemas.openxmlformats.org/officeDocument/2006/relationships/hyperlink" Target="https://media.istockphoto.com/id/1364129160/photo/open-road.jpg?s=612x612&amp;w=0&amp;k=20&amp;c=wEyAJG4XnWJZ_vQ1vJZhOevnpG-BPhoXZc7yeg1oCJo=" TargetMode="External"/><Relationship Id="rId1081" Type="http://schemas.openxmlformats.org/officeDocument/2006/relationships/hyperlink" Target="https://media.istockphoto.com/id/157418325/photo/broken-road.jpg?s=612x612&amp;w=0&amp;k=20&amp;c=Jx-L77IURiKBm2r80zULrlf4BEkPPNFaXx2pL2QGpvk=" TargetMode="External"/><Relationship Id="rId451" Type="http://schemas.openxmlformats.org/officeDocument/2006/relationships/hyperlink" Target="https://images.unsplash.com/photo-1624816804260-65ea43f9615e?w=500&amp;auto=format&amp;fit=crop&amp;q=60&amp;ixlib=rb-4.1.0&amp;ixid=M3wxMjA3fDB8MHxzZWFyY2h8N3x8cGVkZXN0cmlhbiUyMHdhbGtpbmd8ZW58MHx8MHx8fDA%3D" TargetMode="External"/><Relationship Id="rId549" Type="http://schemas.openxmlformats.org/officeDocument/2006/relationships/hyperlink" Target="https://media.istockphoto.com/id/949120374/photo/young-women-in-budapest-crossing-the-street-at-the-pedestrian-walkway.jpg?s=612x612&amp;w=0&amp;k=20&amp;c=Eqv_zuhb2eaTgperi0vhOJzYCKDTHijdO3gbLvzR70Q=" TargetMode="External"/><Relationship Id="rId756" Type="http://schemas.openxmlformats.org/officeDocument/2006/relationships/hyperlink" Target="https://media.cnn.com/api/v1/images/stellar/prod/gettyimages-1943409413.jpg" TargetMode="External"/><Relationship Id="rId1179" Type="http://schemas.openxmlformats.org/officeDocument/2006/relationships/hyperlink" Target="https://media.istockphoto.com/id/488493470/photo/wind-storm-damage.jpg?s=612x612&amp;w=0&amp;k=20&amp;c=G4CClLf4XXmKi5pnLF_-LloAjG56rONVgFFzuLCOF7o=" TargetMode="External"/><Relationship Id="rId1386" Type="http://schemas.openxmlformats.org/officeDocument/2006/relationships/hyperlink" Target="https://img.philkotse.com/temp/2024/07/27/inter-3c7b-wm-b688.webp" TargetMode="External"/><Relationship Id="rId1593" Type="http://schemas.openxmlformats.org/officeDocument/2006/relationships/hyperlink" Target="https://www.waikatotimes.co.nz/media/images/9Tzi8ywRz924XE3uHaD6DZ3Ef+IdbOiYlvIROR5vlqUeRrexTocZGobKRJ9od%2Fgnk3B%2FCeKTmTAsIjj6Q0YaYb9O2YpAGpC3fY+e4MW+eL23rOfWHa1s5vawlRMxcPDGQhZHBI9zy+lJTa497PoX39Tfn7VlcMzs32LGzlfvJqg9ZIzYi8E4rNP+jifNZ3kVdn0QmCNAuGRHufJWuUQsOA==?resolution=620x350" TargetMode="External"/><Relationship Id="rId2132" Type="http://schemas.openxmlformats.org/officeDocument/2006/relationships/hyperlink" Target="https://media.istockphoto.com/id/545245882/photo/truck-with-hay-on-a-road.jpg?s=612x612&amp;w=0&amp;k=20&amp;c=cngGF2v1nloJsXKgO3QhDglEjd3TajzmBhyLQLuog-A=" TargetMode="External"/><Relationship Id="rId104" Type="http://schemas.openxmlformats.org/officeDocument/2006/relationships/hyperlink" Target="https://encrypted-tbn0.gstatic.com/images?q=tbn:ANd9GcTmLs4VMbGPydxFkll6dkIaX7Q3RYUNiQok5qkr4Oay7j-E3tfS2Q2mAPA6sokR9AZ25YA&amp;usqp=CAU" TargetMode="External"/><Relationship Id="rId311" Type="http://schemas.openxmlformats.org/officeDocument/2006/relationships/hyperlink" Target="https://media.istockphoto.com/id/1373732934/photo/hipster-teenage-urban-lifestyle-music-students-go-to-class-or-to-a-concert-concept-of.jpg?s=612x612&amp;w=0&amp;k=20&amp;c=nDZVdpbMObNQZLXfZ3D61DYaRgnqmlYKjDeei9B_iHI=" TargetMode="External"/><Relationship Id="rId409" Type="http://schemas.openxmlformats.org/officeDocument/2006/relationships/hyperlink" Target="https://media.istockphoto.com/id/163654089/photo/car-stopped-for-pedestrian.jpg?s=612x612&amp;w=0&amp;k=20&amp;c=KR2rAvp9aU4KYFs8G6d4g3hvW-HyMy70Eyk6i66zb1w=" TargetMode="External"/><Relationship Id="rId963" Type="http://schemas.openxmlformats.org/officeDocument/2006/relationships/hyperlink" Target="https://static8.depositphotos.com/1421348/902/i/380/depositphotos_9022938-stock-photo-city-highway.jpg" TargetMode="External"/><Relationship Id="rId1039" Type="http://schemas.openxmlformats.org/officeDocument/2006/relationships/hyperlink" Target="https://media.istockphoto.com/id/619498880/photo/professional-use-auto-advertising-backplate.jpg?s=612x612&amp;w=0&amp;k=20&amp;c=Z0Qk6gE9sUzjbavK_eUg0oQWB2Jw83RpAA3l1mq6UGg=" TargetMode="External"/><Relationship Id="rId1246" Type="http://schemas.openxmlformats.org/officeDocument/2006/relationships/hyperlink" Target="https://st.depositphotos.com/1449225/2506/i/380/depositphotos_25067809-stock-photo-cars-crashed.jpg" TargetMode="External"/><Relationship Id="rId1898" Type="http://schemas.openxmlformats.org/officeDocument/2006/relationships/hyperlink" Target="https://www.arrowheavyvehicletraining.com.au/wp-content/uploads/2020/04/safe-load-program.jpg" TargetMode="External"/><Relationship Id="rId92" Type="http://schemas.openxmlformats.org/officeDocument/2006/relationships/hyperlink" Target="https://c8.alamy.com/comp/2JA250B/a-tired-driver-asleep-at-the-wheel-concept-of-man-tired-of-driving-a-man-driver-asleep-at-the-wheel-a-tired-person-sleeping-at-the-wheel-of-the-car-2JA250B.jpg" TargetMode="External"/><Relationship Id="rId616" Type="http://schemas.openxmlformats.org/officeDocument/2006/relationships/hyperlink" Target="https://www.indystar.com/gcdn/presto/2020/07/05/PIND/05e92eb7-5288-4a67-90eb-e1042ab5091a-02_hoodmarch_RS.JPG" TargetMode="External"/><Relationship Id="rId823" Type="http://schemas.openxmlformats.org/officeDocument/2006/relationships/hyperlink" Target="https://media.istockphoto.com/id/1248118439/photo/road-on-the-island-of-tasmania.jpg?s=612x612&amp;w=0&amp;k=20&amp;c=KwIdpCoW3bZYUlMIgxJbTDLnK-qjy2QNdk1djLN32Oc=" TargetMode="External"/><Relationship Id="rId1453" Type="http://schemas.openxmlformats.org/officeDocument/2006/relationships/hyperlink" Target="https://media.istockphoto.com/id/501774837/photo/family-driving-a-car.jpg?s=612x612&amp;w=0&amp;k=20&amp;c=yVisAxobciSYGry8SMFMo-Kt6UzNwYwzwhQAk3MUOFw=" TargetMode="External"/><Relationship Id="rId1660" Type="http://schemas.openxmlformats.org/officeDocument/2006/relationships/hyperlink" Target="https://2passdd.com/Arizona-Defensive-Driving-School/wp-content/uploads/2020/08/car-in-crosswalk.jpg" TargetMode="External"/><Relationship Id="rId1758" Type="http://schemas.openxmlformats.org/officeDocument/2006/relationships/hyperlink" Target="https://encrypted-tbn0.gstatic.com/images?q=tbn:ANd9GcStdyLZnMH5pHhy7AptoreqSuTJULO_9-8pjaJyvlY2wwmD6Q9lQkBs7wocmVv3TZjiEQM&amp;usqp=CAU" TargetMode="External"/><Relationship Id="rId1106" Type="http://schemas.openxmlformats.org/officeDocument/2006/relationships/hyperlink" Target="https://media.istockphoto.com/id/601945516/photo/high-water-street-flooding.jpg?s=612x612&amp;w=0&amp;k=20&amp;c=V4260s88J7KjO52aK9GaZqZS6bckaQW8nlWmfNcqzMM=" TargetMode="External"/><Relationship Id="rId1313" Type="http://schemas.openxmlformats.org/officeDocument/2006/relationships/hyperlink" Target="https://st4.depositphotos.com/2247853/41569/i/380/depositphotos_415691830-stock-photo-cape-barren-goose-road-phillip.jpg" TargetMode="External"/><Relationship Id="rId1520" Type="http://schemas.openxmlformats.org/officeDocument/2006/relationships/hyperlink" Target="https://upload.wikimedia.org/wikipedia/commons/4/4c/4waystop.jpg" TargetMode="External"/><Relationship Id="rId1965" Type="http://schemas.openxmlformats.org/officeDocument/2006/relationships/hyperlink" Target="https://media.istockphoto.com/id/1352925342/photo/caravan-holiday.jpg?s=612x612&amp;w=0&amp;k=20&amp;c=Stjv3LUKRW5FASG4z0RxSI9WPIoJf5nVJ9gMiGAvRps=" TargetMode="External"/><Relationship Id="rId1618" Type="http://schemas.openxmlformats.org/officeDocument/2006/relationships/hyperlink" Target="https://s.yimg.com/ny/api/res/1.2/DEaCbq07ZnUKrqZa2ll90g--/YXBwaWQ9aGlnaGxhbmRlcjt3PTY0MDtoPTM0NQ--/https:/s.yimg.com/os/creatr-uploaded-images/2023-04/6f221f00-e3e0-11ed-be2e-782f0377c04c" TargetMode="External"/><Relationship Id="rId1825" Type="http://schemas.openxmlformats.org/officeDocument/2006/relationships/hyperlink" Target="https://encrypted-tbn0.gstatic.com/images?q=tbn:ANd9GcSF4qVHsdl06ffZGNJcnTFrlzmVtIX34DvEeyaWoZDoyJGwmnKD2HcQ0h3kqOL4tOqu3lc&amp;usqp=CAU" TargetMode="External"/><Relationship Id="rId199" Type="http://schemas.openxmlformats.org/officeDocument/2006/relationships/hyperlink" Target="https://st5.depositphotos.com/4395427/66280/i/380/depositphotos_662804030-stock-photo-asian-woman-bad-eating-habits.jpg" TargetMode="External"/><Relationship Id="rId2087" Type="http://schemas.openxmlformats.org/officeDocument/2006/relationships/hyperlink" Target="https://images.unsplash.com/photo-1706130578908-ffdf5ef1ae18?w=400&amp;auto=format&amp;fit=crop&amp;q=60&amp;ixlib=rb-4.1.0&amp;ixid=M3wxMjA3fDB8MHxwaG90by1yZWxhdGVkfDEwfHx8ZW58MHx8fHx8" TargetMode="External"/><Relationship Id="rId2294" Type="http://schemas.openxmlformats.org/officeDocument/2006/relationships/hyperlink" Target="https://images.unsplash.com/photo-1653508310311-127794be33b6?w=400&amp;auto=format&amp;fit=crop&amp;q=60&amp;ixlib=rb-4.1.0&amp;ixid=M3wxMjA3fDB8MHxzZWFyY2h8MTJ8fHRyYWlsZXIlMjBsb2FkJTIwb2YlMjB0cmFzaHxlbnwwfHwwfHx8MA%3D%3D" TargetMode="External"/><Relationship Id="rId266" Type="http://schemas.openxmlformats.org/officeDocument/2006/relationships/hyperlink" Target="https://st2.depositphotos.com/1806242/5531/i/380/depositphotos_55319041-stock-photo-young-man-reading-and-drinking.jpg" TargetMode="External"/><Relationship Id="rId473" Type="http://schemas.openxmlformats.org/officeDocument/2006/relationships/hyperlink" Target="https://images.unsplash.com/photo-1668661825431-a5526806e086?w=500&amp;auto=format&amp;fit=crop&amp;q=60&amp;ixlib=rb-4.1.0&amp;ixid=M3wxMjA3fDB8MHxzZWFyY2h8OTV8fHBlZGVzdHJpYW4lMjB3YWxraW5nJTIwZ3JlZW4lMjBsaWdodHxlbnwwfHwwfHx8MA%3D%3D" TargetMode="External"/><Relationship Id="rId680" Type="http://schemas.openxmlformats.org/officeDocument/2006/relationships/hyperlink" Target="https://media.istockphoto.com/id/533502443/photo/teenager-text-messaging.jpg?s=612x612&amp;w=0&amp;k=20&amp;c=23UqlketfkmdrrOPTvDhwz_8n6JL3xoKRpJRBVTzFLU=" TargetMode="External"/><Relationship Id="rId2154" Type="http://schemas.openxmlformats.org/officeDocument/2006/relationships/hyperlink" Target="https://blog.trucksuvidha.com/wp-content/uploads/2015/02/Picture15.jpg" TargetMode="External"/><Relationship Id="rId126" Type="http://schemas.openxmlformats.org/officeDocument/2006/relationships/hyperlink" Target="https://encrypted-tbn0.gstatic.com/images?q=tbn:ANd9GcRMFQZRfP-wYoDwRnlbwmIozvrM1nhlIkz3eA&amp;s" TargetMode="External"/><Relationship Id="rId333" Type="http://schemas.openxmlformats.org/officeDocument/2006/relationships/hyperlink" Target="https://media.istockphoto.com/id/1264312873/photo/mother-and-child-on-crosswalk-street.jpg?s=612x612&amp;w=0&amp;k=20&amp;c=6uJ16_En3JW6hV5B9mOyQLgoKw9IZ6HR82MIL4R2iRI=" TargetMode="External"/><Relationship Id="rId540" Type="http://schemas.openxmlformats.org/officeDocument/2006/relationships/hyperlink" Target="https://images.unsplash.com/photo-1727703551558-fac2cc06bf67?w=500&amp;auto=format&amp;fit=crop&amp;q=60&amp;ixlib=rb-4.1.0&amp;ixid=M3wxMjA3fDB8MHxwaG90by1yZWxhdGVkfDd8fHxlbnwwfHx8fHw%3D" TargetMode="External"/><Relationship Id="rId778" Type="http://schemas.openxmlformats.org/officeDocument/2006/relationships/hyperlink" Target="https://media.istockphoto.com/id/1287538671/photo/crossing-the-street-at-a-pedestrian-crossing-and-looking-his-cellphone.jpg?s=612x612&amp;w=0&amp;k=20&amp;c=3LArQpBVUOczDvDP1Hz7cFnCE0MkeuC2FYxaKTuLYzY=" TargetMode="External"/><Relationship Id="rId985" Type="http://schemas.openxmlformats.org/officeDocument/2006/relationships/hyperlink" Target="https://st4.depositphotos.com/1585997/23461/i/450/depositphotos_234614154-stock-photo-brisbane-dec-2018-brisbane-city.jpg" TargetMode="External"/><Relationship Id="rId1170" Type="http://schemas.openxmlformats.org/officeDocument/2006/relationships/hyperlink" Target="https://media.istockphoto.com/id/137302464/photo/the-aftermath-of-severe-weather-on-a-road.jpg?s=612x612&amp;w=0&amp;k=20&amp;c=xVr4hrNYfL9VArNOT7tm-Ixxn6M4soWGMZsdOv4IF8A=" TargetMode="External"/><Relationship Id="rId2014" Type="http://schemas.openxmlformats.org/officeDocument/2006/relationships/hyperlink" Target="https://images.unsplash.com/photo-1590079105886-f0f884bf4437?w=400&amp;auto=format&amp;fit=crop&amp;q=60&amp;ixlib=rb-4.1.0&amp;ixid=M3wxMjA3fDB8MHxzZWFyY2h8NDB8fHRydWNrfGVufDB8fDB8fHww" TargetMode="External"/><Relationship Id="rId2221" Type="http://schemas.openxmlformats.org/officeDocument/2006/relationships/hyperlink" Target="https://st.depositphotos.com/1005951/55876/i/450/depositphotos_558767506-stock-photo-very-large-roof-box-storage.jpg" TargetMode="External"/><Relationship Id="rId638" Type="http://schemas.openxmlformats.org/officeDocument/2006/relationships/hyperlink" Target="https://th-i.thgim.com/public/incoming/paq75q/article65863100.ece/alternates/LANDSCAPE_1200/vjkvg-ped%201.jpg" TargetMode="External"/><Relationship Id="rId845" Type="http://schemas.openxmlformats.org/officeDocument/2006/relationships/hyperlink" Target="https://st3.depositphotos.com/1585997/31917/i/450/depositphotos_319175698-stock-photo-traffic-to-perth-central-financial.jpg" TargetMode="External"/><Relationship Id="rId1030" Type="http://schemas.openxmlformats.org/officeDocument/2006/relationships/hyperlink" Target="https://media.istockphoto.com/id/1148591236/photo/empty-asphalt-road-with-buildings-in-the-city.jpg?s=612x612&amp;w=0&amp;k=20&amp;c=VBLu8GxlUatECihoiORQTZJtpOJc2_-pAzvS2vyGZK0=" TargetMode="External"/><Relationship Id="rId1268" Type="http://schemas.openxmlformats.org/officeDocument/2006/relationships/hyperlink" Target="https://st2.depositphotos.com/3711911/12284/i/380/depositphotos_122844796-stock-photo-broken-traffic-light.jpg" TargetMode="External"/><Relationship Id="rId1475" Type="http://schemas.openxmlformats.org/officeDocument/2006/relationships/hyperlink" Target="https://images.unsplash.com/photo-1664391810644-6331d6780ea1?w=500&amp;auto=format&amp;fit=crop&amp;q=60&amp;ixlib=rb-4.1.0&amp;ixid=M3wxMjA3fDB8MHxzZWFyY2h8MTR8fGNhciUyMGF0JTIwcmVkJTIwbGlnaHR8ZW58MHx8MHx8fDA%3D" TargetMode="External"/><Relationship Id="rId1682" Type="http://schemas.openxmlformats.org/officeDocument/2006/relationships/hyperlink" Target="https://media.istockphoto.com/id/458969983/photo/dangerous-overtaking.jpg?s=612x612&amp;w=0&amp;k=20&amp;c=1Mzsl3pX9ybmCRyY41FxpbLhFbBWc-2eqv4p-1aJ--0=" TargetMode="External"/><Relationship Id="rId2319" Type="http://schemas.openxmlformats.org/officeDocument/2006/relationships/hyperlink" Target="https://media.istockphoto.com/id/817784056/photo/tractor-full-with-hay-on-the-road.jpg?s=612x612&amp;w=0&amp;k=20&amp;c=zffcNmDCbx1tah_M6_DLjHkpbayGe5FEuOdfRa_7Y5w=" TargetMode="External"/><Relationship Id="rId400" Type="http://schemas.openxmlformats.org/officeDocument/2006/relationships/hyperlink" Target="https://media.istockphoto.com/id/1138882521/photo/crossing-the-street-in-san-franciscos-mission-district.jpg?s=612x612&amp;w=0&amp;k=20&amp;c=lAvxWIESjRZfzBYfaVFqwCJQyqZAy8Go3ajhsvovsW0=" TargetMode="External"/><Relationship Id="rId705" Type="http://schemas.openxmlformats.org/officeDocument/2006/relationships/hyperlink" Target="https://media.istockphoto.com/id/535338031/photo/using-mobile-telephone-while-crossing-a-road.jpg?s=612x612&amp;w=0&amp;k=20&amp;c=Uo40cc_OtWsUwK8FveCQljGKcTzLq8V5zPAJipLbc2M=" TargetMode="External"/><Relationship Id="rId1128" Type="http://schemas.openxmlformats.org/officeDocument/2006/relationships/hyperlink" Target="https://townsquare.media/site/677/files/2022/01/attachment-RS34883_GettyImages-498050908-scr.jpg?w=1200&amp;h=0&amp;zc=1&amp;s=0&amp;a=t&amp;q=89&amp;format=natural" TargetMode="External"/><Relationship Id="rId1335" Type="http://schemas.openxmlformats.org/officeDocument/2006/relationships/hyperlink" Target="https://media.istockphoto.com/id/154919588/photo/road-and-flood.jpg?s=612x612&amp;w=0&amp;k=20&amp;c=q0Kiik8wDntv_P2sLL9Ic-r6yqF8um6ivzwZ-xW6rNc=" TargetMode="External"/><Relationship Id="rId1542" Type="http://schemas.openxmlformats.org/officeDocument/2006/relationships/hyperlink" Target="https://encrypted-tbn0.gstatic.com/images?q=tbn:ANd9GcR3kc5V_azgTbA15KeQX8MCCAEGSnKYVTi0dA&amp;s" TargetMode="External"/><Relationship Id="rId1987" Type="http://schemas.openxmlformats.org/officeDocument/2006/relationships/hyperlink" Target="https://media.istockphoto.com/id/2155601198/photo/canoe-on-roof-top-of-car-van.jpg?s=612x612&amp;w=0&amp;k=20&amp;c=b5RIS1pVVzVSpcm51A5AqNbdhCLt_Y7BCr2EHgLVOUs=" TargetMode="External"/><Relationship Id="rId912" Type="http://schemas.openxmlformats.org/officeDocument/2006/relationships/hyperlink" Target="https://media.istockphoto.com/id/2151065259/photo/a-view-along-high-street-northcote-from-an-area-called-the-westgarth-village-towards-ruckers.jpg?s=612x612&amp;w=0&amp;k=20&amp;c=5HT07wCCTtRj-V03Db8By3e85P2s4cMfgjfPzUM1-p4=" TargetMode="External"/><Relationship Id="rId1847" Type="http://schemas.openxmlformats.org/officeDocument/2006/relationships/hyperlink" Target="https://media.istockphoto.com/id/946210052/photo/caravan-or-convoy-of-trucks-on-highway.jpg?s=1024x1024&amp;w=is&amp;k=20&amp;c=iBPkPhLDcLWhR6N-mwXba5W220LNEHO85SFXJpiC8K4=" TargetMode="External"/><Relationship Id="rId41" Type="http://schemas.openxmlformats.org/officeDocument/2006/relationships/hyperlink" Target="https://st3.depositphotos.com/1003697/12762/i/380/depositphotos_127620912-stock-photo-woman-making-makeup-while-driving.jpg" TargetMode="External"/><Relationship Id="rId1402" Type="http://schemas.openxmlformats.org/officeDocument/2006/relationships/hyperlink" Target="https://media.istockphoto.com/id/1663006730/photo/driving-at-dusk-stop-sign-red-traffic-lights-rear-view-of-car-waiting.jpg?s=1024x1024&amp;w=is&amp;k=20&amp;c=WCd5j9XkHG9CnVqq97obOA3My--tTGfo5wpYHjZAysU=" TargetMode="External"/><Relationship Id="rId1707" Type="http://schemas.openxmlformats.org/officeDocument/2006/relationships/hyperlink" Target="https://images.unsplash.com/photo-1668079061766-0d7f1c2b7996?w=500&amp;auto=format&amp;fit=crop&amp;q=60&amp;ixlib=rb-4.1.0&amp;ixid=M3wxMjA3fDB8MHxzZWFyY2h8Mjd8fGNhciUyMGF0JTIwcmVkJTIwbGlnaHR8ZW58MHx8MHx8fDA%3D" TargetMode="External"/><Relationship Id="rId190" Type="http://schemas.openxmlformats.org/officeDocument/2006/relationships/hyperlink" Target="https://st4.depositphotos.com/1635543/41922/i/380/depositphotos_419223430-stock-photo-asian-woman-eating-food-fastfood.jpg" TargetMode="External"/><Relationship Id="rId288" Type="http://schemas.openxmlformats.org/officeDocument/2006/relationships/hyperlink" Target="https://media.istockphoto.com/id/877029722/photo/mom-texts-while-driving-with-child-in-the-backseat.jpg?s=612x612&amp;w=0&amp;k=20&amp;c=3ox2pF4drxmlDYNl1DhA-6Znk_Srj10trA3xMhtkI50=" TargetMode="External"/><Relationship Id="rId1914" Type="http://schemas.openxmlformats.org/officeDocument/2006/relationships/hyperlink" Target="https://media.istockphoto.com/id/946210052/photo/caravan-or-convoy-of-trucks-on-highway.jpg?s=1024x1024&amp;w=is&amp;k=20&amp;c=iBPkPhLDcLWhR6N-mwXba5W220LNEHO85SFXJpiC8K4=" TargetMode="External"/><Relationship Id="rId495" Type="http://schemas.openxmlformats.org/officeDocument/2006/relationships/hyperlink" Target="https://media.istockphoto.com/id/653967962/photo/schoolboy-crossing-a-road-on-his-morning-way-to-school.jpg?s=612x612&amp;w=0&amp;k=20&amp;c=5OQ6Z1-YFLEARfGtnw_TH1R7kV9Xn9TihAStFEX3Bms=" TargetMode="External"/><Relationship Id="rId2176" Type="http://schemas.openxmlformats.org/officeDocument/2006/relationships/hyperlink" Target="https://c8.alamy.com/comp/CXXWCW/overloaded-truck-on-the-road-to-mysore-india-CXXWCW.jpg" TargetMode="External"/><Relationship Id="rId148" Type="http://schemas.openxmlformats.org/officeDocument/2006/relationships/hyperlink" Target="https://images.pexels.com/photos/10466263/pexels-photo-10466263.jpeg" TargetMode="External"/><Relationship Id="rId355" Type="http://schemas.openxmlformats.org/officeDocument/2006/relationships/hyperlink" Target="https://c8.alamy.com/comp/B55NHF/cars-failing-to-stop-at-a-pedestrian-crossing-B55NHF.jpg" TargetMode="External"/><Relationship Id="rId562" Type="http://schemas.openxmlformats.org/officeDocument/2006/relationships/hyperlink" Target="https://media.istockphoto.com/id/1181241726/photo/young-man-walking-at-crosswalk-on-a-sao-paulos-street.jpg?s=612x612&amp;w=0&amp;k=20&amp;c=BbYxvaMZazg6gppfk1l9Rj5Q25f6hsaA3NbBcmPdGsM=" TargetMode="External"/><Relationship Id="rId1192" Type="http://schemas.openxmlformats.org/officeDocument/2006/relationships/hyperlink" Target="https://media.istockphoto.com/id/930733334/photo/old-road-potholes-holes-outside-city-autumn-weather-hdr.jpg?s=612x612&amp;w=0&amp;k=20&amp;c=hjFYMud5QkAIMdIolTIUk42TKDp0_W3pW8F1rzFMAIo=" TargetMode="External"/><Relationship Id="rId2036" Type="http://schemas.openxmlformats.org/officeDocument/2006/relationships/hyperlink" Target="https://media.istockphoto.com/id/1282047643/photo/classic-big-rig-semi-truck-tractor-transporting-lumber-on-the-flat-bed-semi-trailer-moving-on.jpg?s=612x612&amp;w=0&amp;k=20&amp;c=vS4MX8uHpO3MGoGQRjW2dXjV0WIfcEIwo1uECc0hF54=" TargetMode="External"/><Relationship Id="rId2243" Type="http://schemas.openxmlformats.org/officeDocument/2006/relationships/hyperlink" Target="https://st3.depositphotos.com/1184024/17751/i/450/depositphotos_177512610-stock-photo-caravan-with-bicycles-and-cars.jpg" TargetMode="External"/><Relationship Id="rId215" Type="http://schemas.openxmlformats.org/officeDocument/2006/relationships/hyperlink" Target="https://st4.depositphotos.com/5675252/22612/i/380/depositphotos_226125066-stock-photo-man-eating-pizza-coffee-while.jpg" TargetMode="External"/><Relationship Id="rId422" Type="http://schemas.openxmlformats.org/officeDocument/2006/relationships/hyperlink" Target="https://media.istockphoto.com/id/1144320423/photo/crosswalk-people-crossing-in-downtown.jpg?s=612x612&amp;w=0&amp;k=20&amp;c=00bXtY6qbcH_3XGO_XJeCz167oR4VQYEy9D2hrg6w5M=" TargetMode="External"/><Relationship Id="rId867" Type="http://schemas.openxmlformats.org/officeDocument/2006/relationships/hyperlink" Target="https://static01.nyt.com/images/2012/04/13/arts/13JPDRIVE1/13JPDRIVE1-superJumbo.jpg" TargetMode="External"/><Relationship Id="rId1052" Type="http://schemas.openxmlformats.org/officeDocument/2006/relationships/hyperlink" Target="https://cdn.prod.website-files.com/633a774cc6e89f417caf380c/6372e10439e184188c00cdfd_JtnzKxnQwo1b2VjRltx5Rgr5hvWGVT7JJFaSoZzuPRJ5ApmuXQYMppQSe358gj3q7Csm9KNTdxnKUagaXnS8Ca9DC_lmqcu17Hn7u-z9TU_STRHOqFF8L8e0j1gkc3lLm4KQbIsOhnoLTbryNUwsNfa8lhJuRX3ZvFSfCR-uEdM9_tICiWPUMU8w8lktjA.jpeg" TargetMode="External"/><Relationship Id="rId1497" Type="http://schemas.openxmlformats.org/officeDocument/2006/relationships/hyperlink" Target="https://images.unsplash.com/photo-1574868923023-e0cb604ad557?w=500&amp;auto=format&amp;fit=crop&amp;q=60&amp;ixlib=rb-4.1.0&amp;ixid=M3wxMjA3fDB8MHxwaG90by1yZWxhdGVkfDl8fHxlbnwwfHx8fHw%3D" TargetMode="External"/><Relationship Id="rId2103" Type="http://schemas.openxmlformats.org/officeDocument/2006/relationships/hyperlink" Target="https://st.depositphotos.com/1019221/1212/i/450/depositphotos_12121958-stock-photo-africa.jpg" TargetMode="External"/><Relationship Id="rId2310" Type="http://schemas.openxmlformats.org/officeDocument/2006/relationships/hyperlink" Target="https://media.istockphoto.com/id/461952017/photo/hay-truck.jpg?s=612x612&amp;w=0&amp;k=20&amp;c=kF39O5A7Ds7Tnz2eBzTim4DLHgC5E1Qb9OCOvKPu3RA=" TargetMode="External"/><Relationship Id="rId727" Type="http://schemas.openxmlformats.org/officeDocument/2006/relationships/hyperlink" Target="https://media.istockphoto.com/id/1150351464/photo/jaywalking-on-a-city-street.jpg?s=612x612&amp;w=0&amp;k=20&amp;c=xvH692j6e2bA03I86zgcYoZ40DLRmf1Dd_hR7IY5n-Y=" TargetMode="External"/><Relationship Id="rId934" Type="http://schemas.openxmlformats.org/officeDocument/2006/relationships/hyperlink" Target="https://media.istockphoto.com/id/1159476981/photo/panoramic-mountain-road.jpg?s=612x612&amp;w=0&amp;k=20&amp;c=dzwyML72TB5X_Xrb31f0TyvIUBh7fyrrFbyNiY4mBPY=" TargetMode="External"/><Relationship Id="rId1357" Type="http://schemas.openxmlformats.org/officeDocument/2006/relationships/hyperlink" Target="https://www.racv.com.au/content/dam/racv-assets/images/images/motor/road-safety/1600x900/railway-level-crossing-1600x900.jpg" TargetMode="External"/><Relationship Id="rId1564" Type="http://schemas.openxmlformats.org/officeDocument/2006/relationships/hyperlink" Target="https://media.istockphoto.com/id/617778720/photo/main-road-in-melbourne.jpg?s=612x612&amp;w=0&amp;k=20&amp;c=zDkc-Bg4VOUIxhUHukD7thrDu6oYQPpMeuBx_A08V1s=" TargetMode="External"/><Relationship Id="rId1771" Type="http://schemas.openxmlformats.org/officeDocument/2006/relationships/hyperlink" Target="https://images.carexpert.com.au/resize/960/-/cms/v1/media/2023-07-blocked-intersection.jpg" TargetMode="External"/><Relationship Id="rId63" Type="http://schemas.openxmlformats.org/officeDocument/2006/relationships/hyperlink" Target="https://media.gettyimages.com/id/1657434172/photo/distracted-female-driver-looking-at-passengers-phone.jpg?s=612x612&amp;w=gi&amp;k=20&amp;c=M2-qy8qa4RRCABGMmBCNWgS62bR56W9MQG7THhzqtX0=" TargetMode="External"/><Relationship Id="rId1217" Type="http://schemas.openxmlformats.org/officeDocument/2006/relationships/hyperlink" Target="https://media.istockphoto.com/id/1848810166/photo/water-in-pothole.jpg?s=612x612&amp;w=0&amp;k=20&amp;c=jRRnzBxgBAM-mIM5-2hDbCv9Ka_vkWgS4t0oZrD-2lM=" TargetMode="External"/><Relationship Id="rId1424" Type="http://schemas.openxmlformats.org/officeDocument/2006/relationships/hyperlink" Target="https://images.perthnow.com.au/publication/C-18942408/b56f243642a9d85ad058b9eddf6d9b79dd0437bb-16x9-x0y283w2776h1562.jpg?imwidth=668&amp;impolicy=pn_v3" TargetMode="External"/><Relationship Id="rId1631" Type="http://schemas.openxmlformats.org/officeDocument/2006/relationships/hyperlink" Target="https://images.thewest.com.au/publication/B88718076Z/1516244737073_GMH1DTA9G.1-0.jpg?imwidth=810&amp;impolicy=wan_v3" TargetMode="External"/><Relationship Id="rId1869" Type="http://schemas.openxmlformats.org/officeDocument/2006/relationships/hyperlink" Target="https://images.unsplash.com/photo-1501700493788-fa1a4fc9fe62?w=400&amp;auto=format&amp;fit=crop&amp;q=60&amp;ixlib=rb-4.1.0&amp;ixid=M3wxMjA3fDB8MHxzZWFyY2h8NHx8dHJ1Y2t8ZW58MHx8MHx8fDA%3D" TargetMode="External"/><Relationship Id="rId1729" Type="http://schemas.openxmlformats.org/officeDocument/2006/relationships/hyperlink" Target="https://blogger.googleusercontent.com/img/b/R29vZ2xl/AVvXsEh9_XXl81YI8WIS6t-ThmVJ6fvM3tS9eEWg13fcQirGBThD15ffn9dZrxhD2LGEfjethGqcOJ3XEFptPRBdJ0iFa7Bz0b_HFSzEeUvJ8CFdGOnLHkswhvoCuUOxaYSbBuXALnmNeA/s1600/reddit+-+red+light+fine.png" TargetMode="External"/><Relationship Id="rId1936" Type="http://schemas.openxmlformats.org/officeDocument/2006/relationships/hyperlink" Target="https://media.istockphoto.com/id/1057570312/photo/mountain-bicycle-fixed-with-roof-mounted-bike-carriers-instaled-on-white-auto-roof-travel.jpg?s=612x612&amp;w=0&amp;k=20&amp;c=Qp8Uy7bhjnY8uL6qaS4U3MDVRkqMwKW43rnrlRzJyuQ=" TargetMode="External"/><Relationship Id="rId2198" Type="http://schemas.openxmlformats.org/officeDocument/2006/relationships/hyperlink" Target="https://st.depositphotos.com/8272416/59368/i/450/depositphotos_593680588-stock-photo-accra-ghana-april-2022-crowded.jpg" TargetMode="External"/><Relationship Id="rId377" Type="http://schemas.openxmlformats.org/officeDocument/2006/relationships/hyperlink" Target="https://freight.cargo.site/t/original/i/34bf443e9c7940adf00d264f4b3c422233e1dc9ef4ffcb2a31eb1adeff92be95/Stands_Cover.jpg" TargetMode="External"/><Relationship Id="rId584" Type="http://schemas.openxmlformats.org/officeDocument/2006/relationships/hyperlink" Target="https://st3.depositphotos.com/16748900/32882/i/380/depositphotos_328820768-stock-photo-two-pedestrians-cross-road-jaywalk.jpg" TargetMode="External"/><Relationship Id="rId2058" Type="http://schemas.openxmlformats.org/officeDocument/2006/relationships/hyperlink" Target="https://media.istockphoto.com/id/938116384/photo/truck-transporting-wood.jpg?s=612x612&amp;w=0&amp;k=20&amp;c=bpySouUP_1SQ_7LxBdtmulFnZ_5nN1L_vfnFm0lX5Ls=" TargetMode="External"/><Relationship Id="rId2265" Type="http://schemas.openxmlformats.org/officeDocument/2006/relationships/hyperlink" Target="https://st5.depositphotos.com/5388620/76518/i/450/depositphotos_765183352-stock-photo-overburdened-truck-travels-highway-illustrating.jpg" TargetMode="External"/><Relationship Id="rId5" Type="http://schemas.openxmlformats.org/officeDocument/2006/relationships/hyperlink" Target="https://media.istockphoto.com/id/586357672/photo/texting-and-driving-wreck-hitting-pedestrian.jpg?s=612x612&amp;w=0&amp;k=20&amp;c=4E5fpk5OP0W1V5h6Aak7iBk2wXj6_OojcoNRcQj2xzs=" TargetMode="External"/><Relationship Id="rId237" Type="http://schemas.openxmlformats.org/officeDocument/2006/relationships/hyperlink" Target="https://st5.depositphotos.com/9045224/75564/i/380/depositphotos_755649942-stock-photo-woman-applying-lipstick-while-seated.jpg" TargetMode="External"/><Relationship Id="rId791" Type="http://schemas.openxmlformats.org/officeDocument/2006/relationships/hyperlink" Target="https://images.pexels.com/photos/20030515/pexels-photo-20030515.jpeg" TargetMode="External"/><Relationship Id="rId889" Type="http://schemas.openxmlformats.org/officeDocument/2006/relationships/hyperlink" Target="https://media.istockphoto.com/id/499099945/photo/highway-401-during-the-day.jpg?s=612x612&amp;w=0&amp;k=20&amp;c=2oSv44SMWGfPu6jeL8n_jIw85dYAa00GgPowQ2R3UYI=" TargetMode="External"/><Relationship Id="rId1074" Type="http://schemas.openxmlformats.org/officeDocument/2006/relationships/hyperlink" Target="https://media.istockphoto.com/id/2164167925/photo/puddles-and-damaged-asphalt-road-edge-sunny-day.jpg?s=612x612&amp;w=0&amp;k=20&amp;c=Afe1mWHu2PtIe8m_44vlt0f6Wg6u2zqK_8ogGeveex8=" TargetMode="External"/><Relationship Id="rId444" Type="http://schemas.openxmlformats.org/officeDocument/2006/relationships/hyperlink" Target="https://st3.depositphotos.com/16849182/33660/i/380/depositphotos_336604854-stock-photo-one-pedestrian-walking-through-the.jpg" TargetMode="External"/><Relationship Id="rId651" Type="http://schemas.openxmlformats.org/officeDocument/2006/relationships/hyperlink" Target="https://media.istockphoto.com/id/1152269806/photo/low-angle-of-car-in-front-of-pedestrian-crossing-and-walking-boy-with-smartphone.jpg?s=612x612&amp;w=0&amp;k=20&amp;c=9SZeOADKBUdugkDrnp4ADca7oLmr4iujvhwH7oeW5SM=" TargetMode="External"/><Relationship Id="rId749" Type="http://schemas.openxmlformats.org/officeDocument/2006/relationships/hyperlink" Target="https://encrypted-tbn0.gstatic.com/images?q=tbn:ANd9GcT9w1XHvVMUjqRe5CdatLuU4tvf4m4-uFFCAQ&amp;s" TargetMode="External"/><Relationship Id="rId1281" Type="http://schemas.openxmlformats.org/officeDocument/2006/relationships/hyperlink" Target="https://st4.depositphotos.com/27201292/37854/i/380/depositphotos_378541584-stock-photo-deer-passing-street-surrounded-people.jpg" TargetMode="External"/><Relationship Id="rId1379" Type="http://schemas.openxmlformats.org/officeDocument/2006/relationships/hyperlink" Target="https://media.istockphoto.com/id/690733780/photo/atlanta-skyline.jpg?s=612x612&amp;w=0&amp;k=20&amp;c=uFXzquNTl0noJH3clH6cYe3uzALjbqQHbRoqeGHAuCU=" TargetMode="External"/><Relationship Id="rId1586" Type="http://schemas.openxmlformats.org/officeDocument/2006/relationships/hyperlink" Target="https://media.istockphoto.com/id/1527434333/photo/roadside-parking-by-a-bicycle-lane.jpg?s=612x612&amp;w=0&amp;k=20&amp;c=w08Ba-JM0gdSk2tpOSU_oG5EAG4vuG-zNS2Log05x60=" TargetMode="External"/><Relationship Id="rId2125" Type="http://schemas.openxmlformats.org/officeDocument/2006/relationships/hyperlink" Target="https://media.istockphoto.com/id/1131258299/photo/car-image.jpg?s=612x612&amp;w=0&amp;k=20&amp;c=v49ErTNHKHQELS236B2Gw62-IYopts45atCjtp4Yo04=" TargetMode="External"/><Relationship Id="rId2332" Type="http://schemas.openxmlformats.org/officeDocument/2006/relationships/hyperlink" Target="https://encrypted-tbn0.gstatic.com/images?q=tbn:ANd9GcTmzpW5ILbyjOtf2kmp0w0nAQyr1PO9IRJNSyfD1_FrJ4n_21Igw8gET2j3-bvIsGZr1Vg&amp;usqp=CAU" TargetMode="External"/><Relationship Id="rId304" Type="http://schemas.openxmlformats.org/officeDocument/2006/relationships/hyperlink" Target="https://media.istockphoto.com/id/1138882552/photo/crossing-in-the-rain.jpg?s=612x612&amp;w=0&amp;k=20&amp;c=y9v3epb4_qWdHWvF_aVRBW5xZ4wTWZgkqUhaG9xH3Vo=" TargetMode="External"/><Relationship Id="rId511" Type="http://schemas.openxmlformats.org/officeDocument/2006/relationships/hyperlink" Target="https://media.istockphoto.com/id/1264312873/photo/mother-and-child-on-crosswalk-street.jpg?s=612x612&amp;w=0&amp;k=20&amp;c=6uJ16_En3JW6hV5B9mOyQLgoKw9IZ6HR82MIL4R2iRI=" TargetMode="External"/><Relationship Id="rId609" Type="http://schemas.openxmlformats.org/officeDocument/2006/relationships/hyperlink" Target="https://h7.alamy.com/comp/2S2270W/people-cross-the-road-on-a-red-traffic-light-pedestrian-violation-of-traffic-rules-urban-street-cape-town-south-africa-31-oct-2023-2S2270W.jpg" TargetMode="External"/><Relationship Id="rId956" Type="http://schemas.openxmlformats.org/officeDocument/2006/relationships/hyperlink" Target="https://media.istockphoto.com/id/894541466/photo/paulista-avenue-sao-paulo-brazil.jpg?s=612x612&amp;w=0&amp;k=20&amp;c=g1P9DuGHTcrcvgP6MfVd37Ct-8g9ErwOqIALdkmcb2U=" TargetMode="External"/><Relationship Id="rId1141" Type="http://schemas.openxmlformats.org/officeDocument/2006/relationships/hyperlink" Target="https://www.getready.qld.gov.au/sites/default/files/styles/hero_image_desktop_basic/public/2019-09/Wolfram%20Creek%20Road%20%282%29.jpg?itok=2en5pyhX" TargetMode="External"/><Relationship Id="rId1239" Type="http://schemas.openxmlformats.org/officeDocument/2006/relationships/hyperlink" Target="https://st4.depositphotos.com/2267983/31334/i/380/depositphotos_313344178-stock-photo-damaged-cars-on-the-road.jpg" TargetMode="External"/><Relationship Id="rId1793" Type="http://schemas.openxmlformats.org/officeDocument/2006/relationships/hyperlink" Target="https://carfromjapan.com/wp-content/uploads/2020/08/How-to-Stay-Centered-in-Your-Lane.jpg" TargetMode="External"/><Relationship Id="rId85" Type="http://schemas.openxmlformats.org/officeDocument/2006/relationships/hyperlink" Target="https://media.gettyimages.com/id/1143801187/photo/young-girl-is-putting-lipstick-in-the-traffic-jam-in-rainy-day.jpg?s=612x612&amp;w=gi&amp;k=20&amp;c=Et3dGWYdv4VZDY3n6xdXWou6oo-5_Mf-h_W0Xr1xF1A=" TargetMode="External"/><Relationship Id="rId816" Type="http://schemas.openxmlformats.org/officeDocument/2006/relationships/hyperlink" Target="https://media.istockphoto.com/id/1127254622/photo/heavy-but-fluid-traffic-on-the-a10-highway-in-france-by-a-sunny-day.jpg?s=612x612&amp;w=0&amp;k=20&amp;c=KwwoFrRzFSGMFznyuadEzGtPKbZmklURsp5BaE_nD6E=" TargetMode="External"/><Relationship Id="rId1001" Type="http://schemas.openxmlformats.org/officeDocument/2006/relationships/hyperlink" Target="https://st4.depositphotos.com/2843107/25659/i/450/depositphotos_256595566-stock-photo-australia-wa-perth.jpg" TargetMode="External"/><Relationship Id="rId1446" Type="http://schemas.openxmlformats.org/officeDocument/2006/relationships/hyperlink" Target="https://media.istockphoto.com/id/1854349596/photo/happy-african-american-family-enjoying-car-ride-together.jpg?s=612x612&amp;w=0&amp;k=20&amp;c=0HcmeSgvHFdaeLNSmuacFGhJ1p3Pr5cgIe4ooS_YWy0=" TargetMode="External"/><Relationship Id="rId1653" Type="http://schemas.openxmlformats.org/officeDocument/2006/relationships/hyperlink" Target="https://media.istockphoto.com/id/182138065/photo/dangerous-crossing.jpg?s=612x612&amp;w=0&amp;k=20&amp;c=fBB4qAsCnRMQsjqZdrVK9q3yloKccC7WWh5CvlBb_jE=" TargetMode="External"/><Relationship Id="rId1860" Type="http://schemas.openxmlformats.org/officeDocument/2006/relationships/hyperlink" Target="https://media.istockphoto.com/id/1352925342/photo/caravan-holiday.jpg?s=612x612&amp;w=0&amp;k=20&amp;c=Stjv3LUKRW5FASG4z0RxSI9WPIoJf5nVJ9gMiGAvRps=" TargetMode="External"/><Relationship Id="rId1306" Type="http://schemas.openxmlformats.org/officeDocument/2006/relationships/hyperlink" Target="https://st.depositphotos.com/18723914/57465/i/380/depositphotos_574652032-stock-photo-kangaroo-road-kangaroo-island-australia.jpg" TargetMode="External"/><Relationship Id="rId1513" Type="http://schemas.openxmlformats.org/officeDocument/2006/relationships/hyperlink" Target="https://media.istockphoto.com/id/1045979216/photo/cars-moving-on-the-road-in-city-in-late-evening.jpg?s=612x612&amp;w=0&amp;k=20&amp;c=hFfW7WzeeR3X7FTmwkZ0u4_bBzRK1iJcZwisOgdJB3M=" TargetMode="External"/><Relationship Id="rId1720" Type="http://schemas.openxmlformats.org/officeDocument/2006/relationships/hyperlink" Target="https://injurylawyer.com/wp-content/uploads/2019/01/shutterstock_1219713949-e1546541020647.jpg.webp" TargetMode="External"/><Relationship Id="rId1958" Type="http://schemas.openxmlformats.org/officeDocument/2006/relationships/hyperlink" Target="https://media.istockphoto.com/id/1254690616/photo/car-and-caravan-on-holiday.jpg?s=612x612&amp;w=0&amp;k=20&amp;c=8-Uhp11nEE5TwOPn8WYr1kRM_BBn6IeT_MiALe6Wmos=" TargetMode="External"/><Relationship Id="rId12" Type="http://schemas.openxmlformats.org/officeDocument/2006/relationships/hyperlink" Target="https://encrypted-tbn0.gstatic.com/images?q=tbn:ANd9GcTmLs4VMbGPydxFkll6dkIaX7Q3RYUNiQok5qkr4Oay7j-E3tfS2Q2mAPA6sokR9AZ25YA&amp;usqp=CAU" TargetMode="External"/><Relationship Id="rId1818" Type="http://schemas.openxmlformats.org/officeDocument/2006/relationships/hyperlink" Target="https://encrypted-tbn0.gstatic.com/images?q=tbn:ANd9GcS4VsR1-3hpcGO1v0omxVPJHogZBwC1O-UQIHMf_sSzztlSxwWsCXHrz6v31W4NLahPCTY&amp;usqp=CAU" TargetMode="External"/><Relationship Id="rId161" Type="http://schemas.openxmlformats.org/officeDocument/2006/relationships/hyperlink" Target="https://images.pexels.com/photos/4084276/pexels-photo-4084276.jpeg" TargetMode="External"/><Relationship Id="rId399" Type="http://schemas.openxmlformats.org/officeDocument/2006/relationships/hyperlink" Target="https://media.istockphoto.com/id/1138882521/photo/crossing-the-street-in-san-franciscos-mission-district.jpg?s=612x612&amp;w=0&amp;k=20&amp;c=lAvxWIESjRZfzBYfaVFqwCJQyqZAy8Go3ajhsvovsW0=" TargetMode="External"/><Relationship Id="rId2287" Type="http://schemas.openxmlformats.org/officeDocument/2006/relationships/hyperlink" Target="https://media.istockphoto.com/id/1141023496/photo/trailer-load-of-trash.jpg?s=612x612&amp;w=0&amp;k=20&amp;c=8WtXL79RLz_3LU9h-ru337_rLfNO1nZjdccK4Yk_CaQ=" TargetMode="External"/><Relationship Id="rId259" Type="http://schemas.openxmlformats.org/officeDocument/2006/relationships/hyperlink" Target="https://st5.depositphotos.com/36525122/71224/i/380/depositphotos_712248936-stock-photo-woman-driving-sending-voice-message.jpg" TargetMode="External"/><Relationship Id="rId466" Type="http://schemas.openxmlformats.org/officeDocument/2006/relationships/hyperlink" Target="https://images.unsplash.com/photo-1717199891158-66008d9c68b5?w=500&amp;auto=format&amp;fit=crop&amp;q=60&amp;ixlib=rb-4.1.0&amp;ixid=M3wxMjA3fDB8MHxzZWFyY2h8NjZ8fHBlZGVzdHJpYW4lMjB3YWxraW5nJTIwZ3JlZW4lMjBsaWdodHxlbnwwfHwwfHx8MA%3D%3D" TargetMode="External"/><Relationship Id="rId673" Type="http://schemas.openxmlformats.org/officeDocument/2006/relationships/hyperlink" Target="https://media.istockphoto.com/id/1404143018/photo/vertical-photo-of-women-crossing-the-street-together-while-using-a-mobile.jpg?s=612x612&amp;w=0&amp;k=20&amp;c=cnp2t6Yk-vLXLMOOMT6nsCEc2gTPVuxp25ZYUSlRWSw=" TargetMode="External"/><Relationship Id="rId880" Type="http://schemas.openxmlformats.org/officeDocument/2006/relationships/hyperlink" Target="https://media.istockphoto.com/id/1127254622/photo/heavy-but-fluid-traffic-on-the-a10-highway-in-france-by-a-sunny-day.jpg?s=612x612&amp;w=0&amp;k=20&amp;c=KwwoFrRzFSGMFznyuadEzGtPKbZmklURsp5BaE_nD6E=" TargetMode="External"/><Relationship Id="rId1096" Type="http://schemas.openxmlformats.org/officeDocument/2006/relationships/hyperlink" Target="https://st.depositphotos.com/1730665/1247/i/380/depositphotos_12478046-stock-photo-australia-victoria-great-ocean-road.jpg" TargetMode="External"/><Relationship Id="rId2147" Type="http://schemas.openxmlformats.org/officeDocument/2006/relationships/hyperlink" Target="https://www.arrivealive.mobi/ckfinder/userfiles/images/overload%20bakkie.jpg" TargetMode="External"/><Relationship Id="rId2354" Type="http://schemas.openxmlformats.org/officeDocument/2006/relationships/hyperlink" Target="https://www.truckloadaustralia.com.au/thumbnaillarge/M_full_img-dark2.jpg" TargetMode="External"/><Relationship Id="rId119" Type="http://schemas.openxmlformats.org/officeDocument/2006/relationships/hyperlink" Target="https://encrypted-tbn0.gstatic.com/images?q=tbn:ANd9GcSBBAqHIsPq0uGWEjuW0SgHflSVqP24-lk3UY9ySmpTT-cfcHxt75kG_Ez7HYqzDMLv-1o&amp;usqp=CAU" TargetMode="External"/><Relationship Id="rId326" Type="http://schemas.openxmlformats.org/officeDocument/2006/relationships/hyperlink" Target="https://images.pexels.com/photos/31585198/pexels-photo-31585198.jpeg" TargetMode="External"/><Relationship Id="rId533" Type="http://schemas.openxmlformats.org/officeDocument/2006/relationships/hyperlink" Target="https://media.istockphoto.com/id/1165101627/photo/group-of-children-crossing-road-on-zebra-crossing.jpg?s=612x612&amp;w=0&amp;k=20&amp;c=lJqdR1cBzAXlx-LJ2Q4-K6XkBbsBUxOaHUudfbFXyvE=" TargetMode="External"/><Relationship Id="rId978" Type="http://schemas.openxmlformats.org/officeDocument/2006/relationships/hyperlink" Target="https://st4.depositphotos.com/1841867/28185/i/450/depositphotos_281851370-stock-photo-m1-eastern-distributor-highway-view.jpg" TargetMode="External"/><Relationship Id="rId1163" Type="http://schemas.openxmlformats.org/officeDocument/2006/relationships/hyperlink" Target="https://media.istockphoto.com/id/1040400108/photo/tree-across-power-lines-that-were-taken-out-by-hurricane-florence.jpg?s=612x612&amp;w=0&amp;k=20&amp;c=33-kanTCAEC4meB9ZYIQ9K6TlWz83B5Y6kKVjaKcSwk=" TargetMode="External"/><Relationship Id="rId1370" Type="http://schemas.openxmlformats.org/officeDocument/2006/relationships/hyperlink" Target="https://images.unsplash.com/photo-1664391810644-6331d6780ea1?w=500&amp;auto=format&amp;fit=crop&amp;q=60&amp;ixlib=rb-4.1.0&amp;ixid=M3wxMjA3fDB8MHxzZWFyY2h8MTR8fGNhciUyMGF0JTIwcmVkJTIwbGlnaHR8ZW58MHx8MHx8fDA%3D" TargetMode="External"/><Relationship Id="rId2007" Type="http://schemas.openxmlformats.org/officeDocument/2006/relationships/hyperlink" Target="https://images.unsplash.com/photo-1591768793355-74d04bb6608f?w=400&amp;auto=format&amp;fit=crop&amp;q=60&amp;ixlib=rb-4.1.0&amp;ixid=M3wxMjA3fDB8MHxzZWFyY2h8MTB8fHRydWNrfGVufDB8fDB8fHww" TargetMode="External"/><Relationship Id="rId2214" Type="http://schemas.openxmlformats.org/officeDocument/2006/relationships/hyperlink" Target="https://st5.depositphotos.com/31126772/68630/i/450/depositphotos_686303772-stock-photo-rooftop-cargo-carrier-bag-rear.jpg" TargetMode="External"/><Relationship Id="rId740" Type="http://schemas.openxmlformats.org/officeDocument/2006/relationships/hyperlink" Target="https://st.depositphotos.com/20024196/60003/i/380/depositphotos_600035298-stock-photo-london-may-2022-people-crossing.jpg" TargetMode="External"/><Relationship Id="rId838" Type="http://schemas.openxmlformats.org/officeDocument/2006/relationships/hyperlink" Target="https://st.depositphotos.com/6570854/53660/i/450/depositphotos_536607132-stock-photo-roads-australia-victoria-suburb-melbourne.jpg" TargetMode="External"/><Relationship Id="rId1023" Type="http://schemas.openxmlformats.org/officeDocument/2006/relationships/hyperlink" Target="https://st3.depositphotos.com/6570854/33326/i/450/depositphotos_333261878-stock-photo-the-princes-highway-is-a.jpg" TargetMode="External"/><Relationship Id="rId1468" Type="http://schemas.openxmlformats.org/officeDocument/2006/relationships/hyperlink" Target="https://images.unsplash.com/photo-1613642190115-ff38824cb2e2?w=500&amp;auto=format&amp;fit=crop&amp;q=60&amp;ixlib=rb-4.1.0&amp;ixid=M3wxMjA3fDB8MHxzZWFyY2h8Mnx8Y2FyJTIwYXQlMjByZWQlMjBsaWdodHxlbnwwfHwwfHx8MA%3D%3D" TargetMode="External"/><Relationship Id="rId1675" Type="http://schemas.openxmlformats.org/officeDocument/2006/relationships/hyperlink" Target="https://media.istockphoto.com/id/1143439122/photo/aerial-pedestrian-crowd-crossing-top-view.jpg?s=612x612&amp;w=0&amp;k=20&amp;c=r-nP1jEDXcx8I6iz4uv_H6zR0bw3LvJY1spadPxTYVE=" TargetMode="External"/><Relationship Id="rId1882" Type="http://schemas.openxmlformats.org/officeDocument/2006/relationships/hyperlink" Target="https://media.istockphoto.com/id/2210808753/photo/a-truck-loaded-with-logs-drives-under-a-cloudy-blue-sky-logistic-and-transportation-of-timber.jpg?s=612x612&amp;w=0&amp;k=20&amp;c=m6zRFPyafOsIpUgFc31YpE2s4-H2SsHfv9UbZh_uX5Y=" TargetMode="External"/><Relationship Id="rId600" Type="http://schemas.openxmlformats.org/officeDocument/2006/relationships/hyperlink" Target="https://www.metro.us/wp-content/uploads/2020/03/4_Jaywalking_080116_DSC_9573_2016-Derek-Kouyoumjian_2-scaled.jpg?quality=51&amp;w=1200" TargetMode="External"/><Relationship Id="rId1230" Type="http://schemas.openxmlformats.org/officeDocument/2006/relationships/hyperlink" Target="https://media.istockphoto.com/id/1404731007/photo/one-pit-pothole-with-dirty-water-on-the-gray-asphalt-road.jpg?s=612x612&amp;w=0&amp;k=20&amp;c=IyhzvmwROve_EjVYwqQtNFUrGeM-PDZsvCPXl6HL5M4=" TargetMode="External"/><Relationship Id="rId1328" Type="http://schemas.openxmlformats.org/officeDocument/2006/relationships/hyperlink" Target="https://media.istockphoto.com/id/1369294013/photo/wild-koala-in-australia.jpg?s=612x612&amp;w=0&amp;k=20&amp;c=mjTmGwmXTjtC1CRIQX0hKfYAqkshPfLhI5wqRYuvvew=" TargetMode="External"/><Relationship Id="rId1535" Type="http://schemas.openxmlformats.org/officeDocument/2006/relationships/hyperlink" Target="https://encrypted-tbn0.gstatic.com/images?q=tbn:ANd9GcR6rEhk22kl5gunAeGozvYyRDG_832UOE01TkpCeQM9lKKGCfSBtfdrEMvAv8J4E5A_XJI&amp;usqp=CAU" TargetMode="External"/><Relationship Id="rId905" Type="http://schemas.openxmlformats.org/officeDocument/2006/relationships/hyperlink" Target="https://media.istockphoto.com/id/646995866/photo/sydney-traffic-out-of-focus-4k.jpg?s=612x612&amp;w=0&amp;k=20&amp;c=FrTfCATbIwh8ZGP4KNID3rURdPISFSN8tvqVitenCto=" TargetMode="External"/><Relationship Id="rId1742" Type="http://schemas.openxmlformats.org/officeDocument/2006/relationships/hyperlink" Target="https://bicyclecoalition.org/wp-content/uploads/2018/09/1.jpg" TargetMode="External"/><Relationship Id="rId34" Type="http://schemas.openxmlformats.org/officeDocument/2006/relationships/hyperlink" Target="https://st2.depositphotos.com/1010613/7611/i/380/depositphotos_76114713-stock-photo-businessman-eating-snack.jpg" TargetMode="External"/><Relationship Id="rId1602" Type="http://schemas.openxmlformats.org/officeDocument/2006/relationships/hyperlink" Target="https://media.istockphoto.com/id/458969983/photo/dangerous-overtaking.jpg?s=612x612&amp;w=0&amp;k=20&amp;c=1Mzsl3pX9ybmCRyY41FxpbLhFbBWc-2eqv4p-1aJ--0=" TargetMode="External"/><Relationship Id="rId183" Type="http://schemas.openxmlformats.org/officeDocument/2006/relationships/hyperlink" Target="https://st3.depositphotos.com/13146722/33934/i/380/depositphotos_339345688-stock-photo-adult-male-caucasian-person-eating.jpg" TargetMode="External"/><Relationship Id="rId390" Type="http://schemas.openxmlformats.org/officeDocument/2006/relationships/hyperlink" Target="https://media.istockphoto.com/id/1132356459/photo/senior-woman-crossing.jpg?s=612x612&amp;w=0&amp;k=20&amp;c=lI2anvVJtubV2aB0bzk9HeZSPpC_4G4iQNbY5L7RknM=" TargetMode="External"/><Relationship Id="rId1907" Type="http://schemas.openxmlformats.org/officeDocument/2006/relationships/hyperlink" Target="https://images.nature.com/lw1200/magazine-assets/d41586-019-00191-0/d41586-019-00191-0_16402114.jpg" TargetMode="External"/><Relationship Id="rId2071" Type="http://schemas.openxmlformats.org/officeDocument/2006/relationships/hyperlink" Target="https://media.istockphoto.com/id/869278240/photo/truck-carrying-hay-in-his-body-making-hay-for-the-winter.jpg?s=612x612&amp;w=0&amp;k=20&amp;c=ia_AYinfTWXpvRHb6wht7Ozj5N69MZEWHqTVVShVbno=" TargetMode="External"/><Relationship Id="rId250" Type="http://schemas.openxmlformats.org/officeDocument/2006/relationships/hyperlink" Target="https://st.depositphotos.com/1000647/4674/i/380/depositphotos_46742309-stock-photo-driving-a-car.jpg" TargetMode="External"/><Relationship Id="rId488" Type="http://schemas.openxmlformats.org/officeDocument/2006/relationships/hyperlink" Target="https://images.pexels.com/photos/8576222/pexels-photo-8576222.jpeg" TargetMode="External"/><Relationship Id="rId695" Type="http://schemas.openxmlformats.org/officeDocument/2006/relationships/hyperlink" Target="https://media.istockphoto.com/id/2156838758/photo/woman-strolls-with-phone-and-ice-cream.jpg?s=612x612&amp;w=0&amp;k=20&amp;c=2wloP8A1JOFCsm2VAQRmqhfzWmblhpDTw8D5uGFtTcI=" TargetMode="External"/><Relationship Id="rId2169" Type="http://schemas.openxmlformats.org/officeDocument/2006/relationships/hyperlink" Target="https://i.tribune.com.pk/media/images/934725-van-1439066225/934725-van-1439066225.JPG" TargetMode="External"/><Relationship Id="rId110" Type="http://schemas.openxmlformats.org/officeDocument/2006/relationships/hyperlink" Target="https://www.johnsongarcialaw.com/wp-content/uploads/2020/12/Johnson-Garcia-blog-post-image_Common-signs-of-distracted-driving-scaled-1.jpg.webp" TargetMode="External"/><Relationship Id="rId348" Type="http://schemas.openxmlformats.org/officeDocument/2006/relationships/hyperlink" Target="https://www.legalexaminer.com/wp-content/claris-images-uploads/pedestrian-crossing@large.jpg" TargetMode="External"/><Relationship Id="rId555" Type="http://schemas.openxmlformats.org/officeDocument/2006/relationships/hyperlink" Target="https://lede-admin.usa.streetsblog.org/wp-content/uploads/sites/46/2021/05/Pedestrian-Arterial.jpg" TargetMode="External"/><Relationship Id="rId762" Type="http://schemas.openxmlformats.org/officeDocument/2006/relationships/hyperlink" Target="https://jbsolicitors.com.au/wp-content/uploads/2023/02/jaywalking-featured.jpg" TargetMode="External"/><Relationship Id="rId1185" Type="http://schemas.openxmlformats.org/officeDocument/2006/relationships/hyperlink" Target="https://media.istockphoto.com/id/2167336094/photo/road-blocked-by-uprooted-tree-aftermath-of-severe-weather-in-poconos-forest-area.jpg?s=612x612&amp;w=0&amp;k=20&amp;c=nmN7n_ORML-fRbKqI5cii30ksjLIHoRSTVKcUyPKwhk=" TargetMode="External"/><Relationship Id="rId1392" Type="http://schemas.openxmlformats.org/officeDocument/2006/relationships/hyperlink" Target="https://media.istockphoto.com/id/1527377922/photo/congested-motorway-in-the-twilight.jpg?s=612x612&amp;w=0&amp;k=20&amp;c=1MDDDYhqEkGKwV4pvCjSGdMFIt6mXM7EOoECoRrg3rs=" TargetMode="External"/><Relationship Id="rId2029" Type="http://schemas.openxmlformats.org/officeDocument/2006/relationships/hyperlink" Target="https://images.unsplash.com/photo-1707905862671-5227ea6099ef?w=400&amp;auto=format&amp;fit=crop&amp;q=60&amp;ixlib=rb-4.1.0&amp;ixid=M3wxMjA3fDB8MHxzZWFyY2h8NHx8dHJ1Y2slMjBjYXJyeWluZ3xlbnwwfHwwfHx8MA%3D%3D" TargetMode="External"/><Relationship Id="rId2236" Type="http://schemas.openxmlformats.org/officeDocument/2006/relationships/hyperlink" Target="https://st5.depositphotos.com/1178490/67323/i/450/depositphotos_673238216-stock-photo-trunk-cargo-box-roof-car.jpg" TargetMode="External"/><Relationship Id="rId208" Type="http://schemas.openxmlformats.org/officeDocument/2006/relationships/hyperlink" Target="https://st2.depositphotos.com/14799452/47325/i/380/depositphotos_473251100-stock-photo-happy-woman-eating-food-drinking.jpg" TargetMode="External"/><Relationship Id="rId415" Type="http://schemas.openxmlformats.org/officeDocument/2006/relationships/hyperlink" Target="https://media.istockphoto.com/id/1415122300/photo/a-mother-and-her-son-crossing-road-on-way-to-school.jpg?s=612x612&amp;w=0&amp;k=20&amp;c=AWKWp2uR3tG0yv4LzR1qeN5btTQU7hiS-RMOhUa-pW4=" TargetMode="External"/><Relationship Id="rId622" Type="http://schemas.openxmlformats.org/officeDocument/2006/relationships/hyperlink" Target="https://lede-admin.usa.streetsblog.org/wp-content/uploads/sites/46/2021/05/Pedestrian-Arterial.jpg" TargetMode="External"/><Relationship Id="rId1045" Type="http://schemas.openxmlformats.org/officeDocument/2006/relationships/hyperlink" Target="https://media.istockphoto.com/id/1411145066/photo/busy-traffic-intersection-and-light-rail-bridge-shot-from-above.jpg?s=612x612&amp;w=0&amp;k=20&amp;c=l8JfgIEYie0Vhqikcck8genLfMOYBAWHw0tiAGfE_lQ=" TargetMode="External"/><Relationship Id="rId1252" Type="http://schemas.openxmlformats.org/officeDocument/2006/relationships/hyperlink" Target="https://media.istockphoto.com/id/171276431/photo/storm-damaged-traffic-light.jpg?s=612x612&amp;w=0&amp;k=20&amp;c=X1vrx9gCvbZnLQ4UPcBSW7V0TU8s0pIfMzH9kbM7H6I=" TargetMode="External"/><Relationship Id="rId1697" Type="http://schemas.openxmlformats.org/officeDocument/2006/relationships/hyperlink" Target="https://media.istockphoto.com/id/139085335/photo/police-cars-block-traffic.jpg?s=612x612&amp;w=0&amp;k=20&amp;c=OkdUjIcQHvlfvZcGlTkWNkfX4VQLK6W10-mkxsmuTgM=" TargetMode="External"/><Relationship Id="rId2303" Type="http://schemas.openxmlformats.org/officeDocument/2006/relationships/hyperlink" Target="https://media.istockphoto.com/id/545245882/photo/truck-with-hay-on-a-road.jpg?s=612x612&amp;w=0&amp;k=20&amp;c=cngGF2v1nloJsXKgO3QhDglEjd3TajzmBhyLQLuog-A=" TargetMode="External"/><Relationship Id="rId927" Type="http://schemas.openxmlformats.org/officeDocument/2006/relationships/hyperlink" Target="https://media.istockphoto.com/id/2178353298/photo/a-road-with-a-white-line-down-the-middle-and-a-yellow-line-on-the-side.jpg?s=612x612&amp;w=0&amp;k=20&amp;c=pqIhn96bLGu2jqyVNpkw8TtaEyDR2_L1cow82kwIf3s=" TargetMode="External"/><Relationship Id="rId1112" Type="http://schemas.openxmlformats.org/officeDocument/2006/relationships/hyperlink" Target="https://mesquitelocalnews.com/wp-content/uploads/2024/06/manholecoversdirect-314981-trafficpotholerubble-image1.jpg" TargetMode="External"/><Relationship Id="rId1557" Type="http://schemas.openxmlformats.org/officeDocument/2006/relationships/hyperlink" Target="https://media.istockphoto.com/id/510399253/photo/busy-highway.jpg?s=612x612&amp;w=0&amp;k=20&amp;c=ex27rahrcjx2ZDB5qJgSKgTPqEzx6IBTeRhg75aGrz4=" TargetMode="External"/><Relationship Id="rId1764" Type="http://schemas.openxmlformats.org/officeDocument/2006/relationships/hyperlink" Target="https://content.api.news/v3/images/bin/f00be14e21f7d2e52bc4078c0d8bef4b" TargetMode="External"/><Relationship Id="rId1971" Type="http://schemas.openxmlformats.org/officeDocument/2006/relationships/hyperlink" Target="https://media.istockphoto.com/id/1157121188/photo/white-repair-and-service-van-with-ladder-and-orange-light-bar-on-roof-at-city-street.jpg?s=612x612&amp;w=0&amp;k=20&amp;c=9tUocpHtWJSZ1OFpF_yrh1oVkhHqh_U93M1pzLPF_pI=" TargetMode="External"/><Relationship Id="rId56" Type="http://schemas.openxmlformats.org/officeDocument/2006/relationships/hyperlink" Target="https://images.pexels.com/photos/16352748/pexels-photo-16352748.jpeg" TargetMode="External"/><Relationship Id="rId1417" Type="http://schemas.openxmlformats.org/officeDocument/2006/relationships/hyperlink" Target="https://media.istockphoto.com/id/522564791/photo/winter-sun-on-sunday-motorway-traffic-essex-england.jpg?s=1024x1024&amp;w=is&amp;k=20&amp;c=LX2usWbX5L7lIkT_62x8090Umn61U4iD-DEIScFRP88=" TargetMode="External"/><Relationship Id="rId1624" Type="http://schemas.openxmlformats.org/officeDocument/2006/relationships/hyperlink" Target="https://images.carexpert.com.au/resize/960/-/cms/v1/media/2023-07-blocked-intersection.jpg" TargetMode="External"/><Relationship Id="rId1831" Type="http://schemas.openxmlformats.org/officeDocument/2006/relationships/hyperlink" Target="https://encrypted-tbn0.gstatic.com/images?q=tbn:ANd9GcS_10gIXc51bXb5xQEhp7rGDMhdeby_y2r0SweM6FN7cqETJ4pF9ZTY_eDlSwrEKbY7TAg&amp;usqp=CAU" TargetMode="External"/><Relationship Id="rId1929" Type="http://schemas.openxmlformats.org/officeDocument/2006/relationships/hyperlink" Target="https://media.istockphoto.com/id/1252790465/photo/truck-with-refrigerated-semi-trailer.jpg?s=612x612&amp;w=0&amp;k=20&amp;c=waeG6Akro2uPxdGve8ghlrTqBlca0r6UVxrNMtcAB3M=" TargetMode="External"/><Relationship Id="rId2093" Type="http://schemas.openxmlformats.org/officeDocument/2006/relationships/hyperlink" Target="https://www.arrivealive.mobi/ckfinder/userfiles/images/overload%20bakkie.jpg" TargetMode="External"/><Relationship Id="rId272" Type="http://schemas.openxmlformats.org/officeDocument/2006/relationships/hyperlink" Target="https://st2.depositphotos.com/3947277/5734/i/380/depositphotos_57340311-stock-photo-african-woman-stuck-in-traffic.jpg" TargetMode="External"/><Relationship Id="rId577" Type="http://schemas.openxmlformats.org/officeDocument/2006/relationships/hyperlink" Target="https://media.istockphoto.com/id/1181901428/photo/motivated-for-fitness.webp?b=1&amp;s=612x612&amp;w=0&amp;k=20&amp;c=QMrEKAdmVOs3ncJIkRnqQrg92br3Xq2uFutgToGkR80=" TargetMode="External"/><Relationship Id="rId2160" Type="http://schemas.openxmlformats.org/officeDocument/2006/relationships/hyperlink" Target="https://www.shutterstock.com/image-photo/plasencia-spain-may-01-2022-260nw-2244693823.jpg" TargetMode="External"/><Relationship Id="rId2258" Type="http://schemas.openxmlformats.org/officeDocument/2006/relationships/hyperlink" Target="https://st4.depositphotos.com/1001433/22244/i/450/depositphotos_222443128-stock-photo-india-pune-april-2018-indian.jpg" TargetMode="External"/><Relationship Id="rId132" Type="http://schemas.openxmlformats.org/officeDocument/2006/relationships/hyperlink" Target="https://encrypted-tbn0.gstatic.com/images?q=tbn:ANd9GcTUS4Iz29HjVQQXCjQRjZz9xUR0wyC8o-Me6Q&amp;s" TargetMode="External"/><Relationship Id="rId784" Type="http://schemas.openxmlformats.org/officeDocument/2006/relationships/hyperlink" Target="https://st4.depositphotos.com/21607914/23781/i/380/depositphotos_237813492-stock-photo-chinese-jaywalkers-walk-road-nanjing.jpg" TargetMode="External"/><Relationship Id="rId991" Type="http://schemas.openxmlformats.org/officeDocument/2006/relationships/hyperlink" Target="https://st4.depositphotos.com/13485624/22136/i/450/depositphotos_221361216-stock-photo-melbourne-australia-january-2018-entrance.jpg" TargetMode="External"/><Relationship Id="rId1067" Type="http://schemas.openxmlformats.org/officeDocument/2006/relationships/hyperlink" Target="https://media.istockphoto.com/id/1153263086/photo/tree-that-fell-after-a-storm-in-the-urban-area-old-tree-trunk-fallen-in-the-city.jpg?s=612x612&amp;w=0&amp;k=20&amp;c=Zy1KLvINV7yWoT-Wek9fgd5lUwxo6nV3RN6_ZwbxadI=" TargetMode="External"/><Relationship Id="rId2020" Type="http://schemas.openxmlformats.org/officeDocument/2006/relationships/hyperlink" Target="https://media.istockphoto.com/id/157286698/photo/tow-truck-hauling-a-new-red-car.jpg?s=612x612&amp;w=0&amp;k=20&amp;c=RY6v23MkyjhBjLw7HNhnvUWQqNqmGX4SbR5Y1P1ScE8=" TargetMode="External"/><Relationship Id="rId437" Type="http://schemas.openxmlformats.org/officeDocument/2006/relationships/hyperlink" Target="https://media.istockphoto.com/id/1288149637/photo/young-happy-intercultural-friends-having-drinks-and-talking-while-crossing-road.jpg?s=612x612&amp;w=0&amp;k=20&amp;c=4eYg7B05aIBl2nF6hPlUJEniQuOMQZKj4ZWt93FZoIo=" TargetMode="External"/><Relationship Id="rId644" Type="http://schemas.openxmlformats.org/officeDocument/2006/relationships/hyperlink" Target="https://media.istockphoto.com/id/1186042762/photo/kid-crossing-the-street-at-a-pedestrian-crossing-and-listening-to-music-on-his-cellphone.jpg?s=612x612&amp;w=0&amp;k=20&amp;c=jxuKkuDgIUc7Fwb4NJX1vE2dQciu7OPEouWXG3FKvPY=" TargetMode="External"/><Relationship Id="rId851" Type="http://schemas.openxmlformats.org/officeDocument/2006/relationships/hyperlink" Target="https://st3.depositphotos.com/29384342/33879/i/450/depositphotos_338797404-stock-photo-transit-road-melbourne-skyline-background.jpg" TargetMode="External"/><Relationship Id="rId1274" Type="http://schemas.openxmlformats.org/officeDocument/2006/relationships/hyperlink" Target="https://static6.depositphotos.com/1003512/579/i/380/depositphotos_5792291-stock-photo-calves-on-the-road.jpg" TargetMode="External"/><Relationship Id="rId1481" Type="http://schemas.openxmlformats.org/officeDocument/2006/relationships/hyperlink" Target="https://images.unsplash.com/photo-1598735961233-dbb3b204ba78?w=500&amp;auto=format&amp;fit=crop&amp;q=60&amp;ixlib=rb-4.1.0&amp;ixid=M3wxMjA3fDB8MHxzZWFyY2h8MTh8fGNhciUyMGF0JTIwcmVkJTIwbGlnaHR8ZW58MHx8MHx8fDA%3D" TargetMode="External"/><Relationship Id="rId1579" Type="http://schemas.openxmlformats.org/officeDocument/2006/relationships/hyperlink" Target="https://media.istockphoto.com/id/2144172069/photo/traffic-and-traffic-signs-on-freeway.jpg?s=612x612&amp;w=0&amp;k=20&amp;c=EaL-uNILc37VMPAc67tzbzv2cJYH48_ZJlvVmO5tIlo=" TargetMode="External"/><Relationship Id="rId2118" Type="http://schemas.openxmlformats.org/officeDocument/2006/relationships/hyperlink" Target="https://st.depositphotos.com/8272416/59368/i/450/depositphotos_593680588-stock-photo-accra-ghana-april-2022-crowded.jpg" TargetMode="External"/><Relationship Id="rId2325" Type="http://schemas.openxmlformats.org/officeDocument/2006/relationships/hyperlink" Target="https://images.freeimages.com/images/large-previews/ccd/overload-1253409.jpg?fmt=webp&amp;w=500" TargetMode="External"/><Relationship Id="rId504" Type="http://schemas.openxmlformats.org/officeDocument/2006/relationships/hyperlink" Target="https://media.istockphoto.com/id/1482838658/photo/father-and-children-crossing-road-on-pedestrian-crosswalk.jpg?s=612x612&amp;w=0&amp;k=20&amp;c=DgHIEw_HLqnrq6hl_dSdhHLIHhuZzHHEthwcDo7yMyc=" TargetMode="External"/><Relationship Id="rId711" Type="http://schemas.openxmlformats.org/officeDocument/2006/relationships/hyperlink" Target="https://media.istockphoto.com/id/1386843956/photo/pedestrians-on-the-street.jpg?s=612x612&amp;w=0&amp;k=20&amp;c=LPq5UdnOzElFy33YpwEKXjl5ZHe0o7qIEE4_9kT0j4U=" TargetMode="External"/><Relationship Id="rId949" Type="http://schemas.openxmlformats.org/officeDocument/2006/relationships/hyperlink" Target="https://media.istockphoto.com/id/1226412091/photo/circular-quay-ferry-terminal-emptied.jpg?s=612x612&amp;w=0&amp;k=20&amp;c=megYWF8JZ1wUV0Yu9WuT1TA9CwBuKkYL8cmJV8A6heg=" TargetMode="External"/><Relationship Id="rId1134" Type="http://schemas.openxmlformats.org/officeDocument/2006/relationships/hyperlink" Target="https://content.api.news/v3/images/bin/3b54220bb188309e82871d0c9311c2de" TargetMode="External"/><Relationship Id="rId1341" Type="http://schemas.openxmlformats.org/officeDocument/2006/relationships/hyperlink" Target="https://media.istockphoto.com/id/157646190/photo/flooded-road-hail-storm.jpg?s=612x612&amp;w=0&amp;k=20&amp;c=ZVH6F-pmSIOu_3kKegdfURPYO_5j_j0-c5hydn68tDI=" TargetMode="External"/><Relationship Id="rId1786" Type="http://schemas.openxmlformats.org/officeDocument/2006/relationships/hyperlink" Target="https://media.istockphoto.com/id/1323332711/photo/a-very-busy-sydney-road-in-brunswick-in-the-early-evening-light.jpg?s=612x612&amp;w=0&amp;k=20&amp;c=CIiTSAHjBbZcQkKeQ3lKgEy7rK6WqbgHcS1dMBow1a4=" TargetMode="External"/><Relationship Id="rId1993" Type="http://schemas.openxmlformats.org/officeDocument/2006/relationships/hyperlink" Target="https://media.istockphoto.com/id/2171315695/photo/car-for-traveling-with-a-mountain-road.jpg?s=612x612&amp;w=0&amp;k=20&amp;c=4Sas1Ppp5J6KYGiJPRvlDonYGuTOVPmia0j4wmhkWN8=" TargetMode="External"/><Relationship Id="rId78" Type="http://schemas.openxmlformats.org/officeDocument/2006/relationships/hyperlink" Target="https://media.istockphoto.com/id/586357672/photo/texting-and-driving-wreck-hitting-pedestrian.jpg?s=612x612&amp;w=0&amp;k=20&amp;c=4E5fpk5OP0W1V5h6Aak7iBk2wXj6_OojcoNRcQj2xzs=" TargetMode="External"/><Relationship Id="rId809" Type="http://schemas.openxmlformats.org/officeDocument/2006/relationships/hyperlink" Target="https://encrypted-tbn0.gstatic.com/images?q=tbn:ANd9GcTyE00T0Eh_DC3friBH57sxVnatahu4GmU5_g&amp;s" TargetMode="External"/><Relationship Id="rId1201" Type="http://schemas.openxmlformats.org/officeDocument/2006/relationships/hyperlink" Target="https://media.istockphoto.com/id/898963320/photo/waterfilled-pothole-on-asphalted-road.jpg?s=612x612&amp;w=0&amp;k=20&amp;c=Kk9Nee9qN8Gu6dcjaI8tlGl8580GncHSq1D8cHxtSRc=" TargetMode="External"/><Relationship Id="rId1439" Type="http://schemas.openxmlformats.org/officeDocument/2006/relationships/hyperlink" Target="https://media.istockphoto.com/id/1474796515/photo/putting-on-safety-seatbelt.jpg?s=612x612&amp;w=0&amp;k=20&amp;c=7El5OS_c-zabjcuWndVGMuMnThVPsw_LJ1Sy-1qUCsI=" TargetMode="External"/><Relationship Id="rId1646" Type="http://schemas.openxmlformats.org/officeDocument/2006/relationships/hyperlink" Target="https://www.waikatotimes.co.nz/media/images/9Tzi8ywRz924XE3uHaD6DZ3Ef+IdbOiYlvIROR5vlqUeRrexTocZGobKRJ9od%2Fgnk3B%2FCeKTmTAsIjj6Q0YaYb9O2YpAGpC3fY+e4MW+eL23rOfWHa1s5vawlRMxcPDGQhZHBI9zy+lJTa497PoX39Tfn7VlcMzs32LGzlfvJqg9ZIzYi8E4rNP+jifNZ3kVdn0QmCNAuGRHufJWuUQsOA==?resolution=620x350" TargetMode="External"/><Relationship Id="rId1853" Type="http://schemas.openxmlformats.org/officeDocument/2006/relationships/hyperlink" Target="https://media.istockphoto.com/id/1057570312/photo/mountain-bicycle-fixed-with-roof-mounted-bike-carriers-instaled-on-white-auto-roof-travel.jpg?s=612x612&amp;w=0&amp;k=20&amp;c=Qp8Uy7bhjnY8uL6qaS4U3MDVRkqMwKW43rnrlRzJyuQ=" TargetMode="External"/><Relationship Id="rId1506" Type="http://schemas.openxmlformats.org/officeDocument/2006/relationships/hyperlink" Target="https://media.istockphoto.com/id/857615658/photo/city-traffic-detroit-michigan.jpg?s=612x612&amp;w=0&amp;k=20&amp;c=SQQzgvaB_encu2adj2Uge5pMAGKlA8A1th1KaUTPJNw=" TargetMode="External"/><Relationship Id="rId1713" Type="http://schemas.openxmlformats.org/officeDocument/2006/relationships/hyperlink" Target="https://media.istockphoto.com/id/2161543642/photo/running-yellow-lights.webp?s=1024x1024&amp;w=is&amp;k=20&amp;c=FoZ9Ge1jeI5APSlvM03RZFFWZZPYo1QnGUhKEvlIzbo=" TargetMode="External"/><Relationship Id="rId1920" Type="http://schemas.openxmlformats.org/officeDocument/2006/relationships/hyperlink" Target="https://compactequip.com/wp-content/uploads/2019/04/atlas-copco-qas-generator-easy-transport.jpg" TargetMode="External"/><Relationship Id="rId294" Type="http://schemas.openxmlformats.org/officeDocument/2006/relationships/hyperlink" Target="https://c8.alamy.com/comp/B55NHF/cars-failing-to-stop-at-a-pedestrian-crossing-B55NHF.jpg" TargetMode="External"/><Relationship Id="rId2182" Type="http://schemas.openxmlformats.org/officeDocument/2006/relationships/hyperlink" Target="https://st5.depositphotos.com/49678184/72426/i/380/depositphotos_724268454-stock-photo-rear-view-overloaded-van-traveling.jpg" TargetMode="External"/><Relationship Id="rId154" Type="http://schemas.openxmlformats.org/officeDocument/2006/relationships/hyperlink" Target="https://images.pexels.com/photos/8387455/pexels-photo-8387455.jpeg" TargetMode="External"/><Relationship Id="rId361" Type="http://schemas.openxmlformats.org/officeDocument/2006/relationships/hyperlink" Target="https://c8.alamy.com/comp/HNYN5C/frankfurt-germany-march-20-2009-children-crossing-street-with-guiding-HNYN5C.jpg" TargetMode="External"/><Relationship Id="rId599" Type="http://schemas.openxmlformats.org/officeDocument/2006/relationships/hyperlink" Target="https://content.api.news/v3/images/bin/67f13eb2acc18315091ae2ac07bcb666" TargetMode="External"/><Relationship Id="rId2042" Type="http://schemas.openxmlformats.org/officeDocument/2006/relationships/hyperlink" Target="https://media.istockphoto.com/id/1423325870/photo/tow-truck-transportation.jpg?s=612x612&amp;w=0&amp;k=20&amp;c=EeLFErlEi3n7k9Yfn_Gcuja6cJwf41ISci3q8f6HVuw=" TargetMode="External"/><Relationship Id="rId459" Type="http://schemas.openxmlformats.org/officeDocument/2006/relationships/hyperlink" Target="https://plus.unsplash.com/premium_photo-1661671983641-8ec2c3fcd8cb?w=500&amp;auto=format&amp;fit=crop&amp;q=60&amp;ixlib=rb-4.1.0&amp;ixid=M3wxMjA3fDB8MHxzZWFyY2h8NjF8fHBlZGVzdHJpYW4lMjB3YWxraW5nJTIwZ3JlZW4lMjBsaWdodHxlbnwwfHwwfHx8MA%3D%3D" TargetMode="External"/><Relationship Id="rId666" Type="http://schemas.openxmlformats.org/officeDocument/2006/relationships/hyperlink" Target="https://images.unsplash.com/photo-1642761503017-c1744e5da6ac?w=500&amp;auto=format&amp;fit=crop&amp;q=60&amp;ixlib=rb-4.1.0&amp;ixid=M3wxMjA3fDB8MHxzZWFyY2h8ODd8fHBlZGVzdHJpYW4lMjB3YWxraW5nJTIwZ3JlZW4lMjBsaWdodHxlbnwwfHwwfHx8MA%3D%3D" TargetMode="External"/><Relationship Id="rId873" Type="http://schemas.openxmlformats.org/officeDocument/2006/relationships/hyperlink" Target="https://images.unsplash.com/photo-1589828155685-83225f7d91f3?fm=jpg&amp;q=60&amp;w=3000&amp;ixlib=rb-4.1.0&amp;ixid=M3wxMjA3fDB8MHxzZWFyY2h8Mnx8cm9hZCUyMHdpdGglMjBjYXJzfGVufDB8fDB8fHww" TargetMode="External"/><Relationship Id="rId1089" Type="http://schemas.openxmlformats.org/officeDocument/2006/relationships/hyperlink" Target="https://media.istockphoto.com/id/1440579448/photo/car-crash.jpg?s=612x612&amp;w=0&amp;k=20&amp;c=Y7ruaQuUtTx2MZJbQSUKjY5UOY_gfTnSNDFNSMbJEqU=" TargetMode="External"/><Relationship Id="rId1296" Type="http://schemas.openxmlformats.org/officeDocument/2006/relationships/hyperlink" Target="https://st3.depositphotos.com/9773578/16580/i/380/depositphotos_165803016-stock-photo-dead-wallaby-roadkill-in-australia.jpg" TargetMode="External"/><Relationship Id="rId2347" Type="http://schemas.openxmlformats.org/officeDocument/2006/relationships/hyperlink" Target="https://images.unsplash.com/photo-1724044443584-ec54bd0f24c7?w=500&amp;auto=format&amp;fit=crop&amp;q=60&amp;ixlib=rb-4.1.0&amp;ixid=M3wxMjA3fDB8MHxwaG90by1yZWxhdGVkfDF8fHxlbnwwfHx8fHw%3D" TargetMode="External"/><Relationship Id="rId221" Type="http://schemas.openxmlformats.org/officeDocument/2006/relationships/hyperlink" Target="https://st3.depositphotos.com/1003697/12762/i/380/depositphotos_127620912-stock-photo-woman-making-makeup-while-driving.jpg" TargetMode="External"/><Relationship Id="rId319" Type="http://schemas.openxmlformats.org/officeDocument/2006/relationships/hyperlink" Target="https://images.unsplash.com/photo-1644534226441-9078b613c3ec?w=500&amp;auto=format&amp;fit=crop&amp;q=60&amp;ixlib=rb-4.1.0&amp;ixid=M3wxMjA3fDB8MHxzZWFyY2h8MTl8fHBlZGVzdHJpYW4lMjB3YWxraW5nJTIwc2FmZXxlbnwwfHwwfHx8MA%3D%3D" TargetMode="External"/><Relationship Id="rId526" Type="http://schemas.openxmlformats.org/officeDocument/2006/relationships/hyperlink" Target="https://media.istockphoto.com/id/1413416031/photo/teenage-schoolchildren-a-boy-and-a-girl-cross-the-road-at-a-pedestrian-crossing.jpg?s=612x612&amp;w=0&amp;k=20&amp;c=ebA0Ov20ZXTXYc5BbYuW9RGwJaDnmWEdnNF2lQbFlWc=" TargetMode="External"/><Relationship Id="rId1156" Type="http://schemas.openxmlformats.org/officeDocument/2006/relationships/hyperlink" Target="https://media.istockphoto.com/id/969500140/photo/car-accident.jpg?s=612x612&amp;w=0&amp;k=20&amp;c=5cWFdm3PKaNVLwPQfrGcqvDqgl5SLc8AA38BP_XVPAI=" TargetMode="External"/><Relationship Id="rId1363" Type="http://schemas.openxmlformats.org/officeDocument/2006/relationships/hyperlink" Target="https://media.istockphoto.com/id/1854349596/photo/happy-african-american-family-enjoying-car-ride-together.jpg?s=612x612&amp;w=0&amp;k=20&amp;c=0HcmeSgvHFdaeLNSmuacFGhJ1p3Pr5cgIe4ooS_YWy0=" TargetMode="External"/><Relationship Id="rId2207" Type="http://schemas.openxmlformats.org/officeDocument/2006/relationships/hyperlink" Target="https://media.istockphoto.com/id/1300549747/photo/mattress-on-car-roof-dacia-logan-carrying-mattresses-on-roof-in-bucharest-romania-2021.jpg?s=612x612&amp;w=0&amp;k=20&amp;c=vfIVDFnyWn_DNQ9DLOExrokzRfWlQyVAKmxblWQHOg0=" TargetMode="External"/><Relationship Id="rId733" Type="http://schemas.openxmlformats.org/officeDocument/2006/relationships/hyperlink" Target="https://media.istockphoto.com/id/1086855128/photo/shopping-street-melbourne-australia.jpg?s=612x612&amp;w=0&amp;k=20&amp;c=OmP0emjl1yAc9cJzIqLosa8CC6BsZTJgiXHh6rHg7Yo=" TargetMode="External"/><Relationship Id="rId940" Type="http://schemas.openxmlformats.org/officeDocument/2006/relationships/hyperlink" Target="https://media.istockphoto.com/id/1206248128/photo/beautiful-asphalt-road-with-turns-through-the-schwarzwald-forest-in-germany.jpg?s=612x612&amp;w=0&amp;k=20&amp;c=GiEBX8vDCsZp80RgCTnMAmaGNbcGBXCviIGQysDnpsg=" TargetMode="External"/><Relationship Id="rId1016" Type="http://schemas.openxmlformats.org/officeDocument/2006/relationships/hyperlink" Target="https://st5.depositphotos.com/56294224/66484/i/450/depositphotos_664843884-stock-photo-melbourne-victoria-australia-2019-aami.jpg" TargetMode="External"/><Relationship Id="rId1570" Type="http://schemas.openxmlformats.org/officeDocument/2006/relationships/hyperlink" Target="https://media.istockphoto.com/id/542076936/photo/sydney-road-brunswick.jpg?s=612x612&amp;w=0&amp;k=20&amp;c=mlJ7tgkOqwfE-Xp3G5nm_oBEc27HoXE_amTr8cwW690=" TargetMode="External"/><Relationship Id="rId1668" Type="http://schemas.openxmlformats.org/officeDocument/2006/relationships/hyperlink" Target="https://images.tribuneindia.com/cms/gall_content/2015/9/2015_9$largeimg15_Tuesday_2015_230629386.jpg" TargetMode="External"/><Relationship Id="rId1875" Type="http://schemas.openxmlformats.org/officeDocument/2006/relationships/hyperlink" Target="https://media.istockphoto.com/id/1289928297/photo/white-semi-trailer-truck-heading-down-a-four-lane-highway-at-dusk.jpg?s=612x612&amp;w=0&amp;k=20&amp;c=KrNejbm8JEJ4JxCzQrJp_pJezj-w--uElAIg0QrQo0c=" TargetMode="External"/><Relationship Id="rId800" Type="http://schemas.openxmlformats.org/officeDocument/2006/relationships/hyperlink" Target="https://www.metro.us/wp-content/uploads/2020/03/4_Jaywalking_080116_DSC_9573_2016-Derek-Kouyoumjian_2-scaled.jpg?quality=51&amp;w=1200" TargetMode="External"/><Relationship Id="rId1223" Type="http://schemas.openxmlformats.org/officeDocument/2006/relationships/hyperlink" Target="https://media.istockphoto.com/id/1776289528/photo/potholes-on-bad-asphalt-road-closeup.jpg?s=612x612&amp;w=0&amp;k=20&amp;c=1ChB5XXjK52dTOOPWXKawhvo_AsjZCfpTSdQ0DOWrOI=" TargetMode="External"/><Relationship Id="rId1430" Type="http://schemas.openxmlformats.org/officeDocument/2006/relationships/hyperlink" Target="https://www.travelandleisure.com/thmb/Q2RsMvQNGug4fX5IFuML-5coY5s=/1500x0/filters:no_upscale():max_bytes(150000):strip_icc()/TAL-crowds-WHENBRISBANE1124-9c0850cf61b74e0e96baf19a857524df.jpg" TargetMode="External"/><Relationship Id="rId1528" Type="http://schemas.openxmlformats.org/officeDocument/2006/relationships/hyperlink" Target="https://cyclingsavvy.org/wp-content/uploads/2022/12/multiple-yelds.jpg" TargetMode="External"/><Relationship Id="rId1735" Type="http://schemas.openxmlformats.org/officeDocument/2006/relationships/hyperlink" Target="https://www.heraldnet.com/wp-content/uploads/2019/01/14686101_web1_M-Stop-Sign-EDH-190122.jpg" TargetMode="External"/><Relationship Id="rId1942" Type="http://schemas.openxmlformats.org/officeDocument/2006/relationships/hyperlink" Target="https://media.istockphoto.com/id/1279199341/photo/icefields-parkway-adventure-canadian-rockies-alberta-canada.jpg?s=612x612&amp;w=0&amp;k=20&amp;c=W9RjbAXCzJtWRo_I4BXDfybgoxS344jpfmNf4bjoZdE=" TargetMode="External"/><Relationship Id="rId27" Type="http://schemas.openxmlformats.org/officeDocument/2006/relationships/hyperlink" Target="https://media.istockphoto.com/id/1639627914/photo/young-man-eating-a-sandwich-while-driving-a-car.webp?s=2048x2048&amp;w=is&amp;k=20&amp;c=0u3vyUzJSCNKGh9f5iMiJeBOViFjHL3NTQLsja5gVLc=" TargetMode="External"/><Relationship Id="rId1802" Type="http://schemas.openxmlformats.org/officeDocument/2006/relationships/hyperlink" Target="https://encrypted-tbn0.gstatic.com/images?q=tbn:ANd9GcShdFkZ1roWoOOWiTVKWrsrU45SPtgoq_GQNk1xohSyiQBEYCPv9hvFuoMYNo9RmgF3AYg&amp;usqp=CAU" TargetMode="External"/><Relationship Id="rId176" Type="http://schemas.openxmlformats.org/officeDocument/2006/relationships/hyperlink" Target="https://st3.depositphotos.com/1761743/16656/i/380/depositphotos_166565754-stock-photo-man-eating-an-hamburger-while.jpg" TargetMode="External"/><Relationship Id="rId383" Type="http://schemas.openxmlformats.org/officeDocument/2006/relationships/hyperlink" Target="https://media.istockphoto.com/id/1457298174/photo/citizens-crossing-crowded-zebra-wide-shot.jpg?s=612x612&amp;w=0&amp;k=20&amp;c=T5VpBcBqvmb0qm92Nd8r36AiS2ArCTtgvhPN3CrBi8Y=" TargetMode="External"/><Relationship Id="rId590" Type="http://schemas.openxmlformats.org/officeDocument/2006/relationships/hyperlink" Target="https://jbsolicitors.com.au/wp-content/uploads/2023/02/jaywalking-featured.jpg" TargetMode="External"/><Relationship Id="rId2064" Type="http://schemas.openxmlformats.org/officeDocument/2006/relationships/hyperlink" Target="https://cdn.pixabay.com/photo/2021/12/04/00/29/truck-6844140_640.jpg" TargetMode="External"/><Relationship Id="rId2271" Type="http://schemas.openxmlformats.org/officeDocument/2006/relationships/hyperlink" Target="https://st3.depositphotos.com/2047341/14695/i/450/depositphotos_146959423-stock-photo-the-mercato-market-of-addis.jpg" TargetMode="External"/><Relationship Id="rId243" Type="http://schemas.openxmlformats.org/officeDocument/2006/relationships/hyperlink" Target="https://st2.depositphotos.com/1735158/6602/i/380/depositphotos_66027449-stock-photo-girl-doing-make-up-while.jpg" TargetMode="External"/><Relationship Id="rId450" Type="http://schemas.openxmlformats.org/officeDocument/2006/relationships/hyperlink" Target="https://st2.depositphotos.com/1609055/7563/i/380/depositphotos_75638043-stock-photo-young-woman-crossing-road.jpg" TargetMode="External"/><Relationship Id="rId688" Type="http://schemas.openxmlformats.org/officeDocument/2006/relationships/hyperlink" Target="https://media.istockphoto.com/id/1208387257/photo/pedestrian-checking-her-phone.jpg?s=612x612&amp;w=0&amp;k=20&amp;c=258Ds2jTEaGyAq1EUVxlbQeXt-q-gaZ2rUPiV1QMPTc=" TargetMode="External"/><Relationship Id="rId895" Type="http://schemas.openxmlformats.org/officeDocument/2006/relationships/hyperlink" Target="https://media.istockphoto.com/id/1364129160/photo/open-road.jpg?s=612x612&amp;w=0&amp;k=20&amp;c=wEyAJG4XnWJZ_vQ1vJZhOevnpG-BPhoXZc7yeg1oCJo=" TargetMode="External"/><Relationship Id="rId1080" Type="http://schemas.openxmlformats.org/officeDocument/2006/relationships/hyperlink" Target="https://media.istockphoto.com/id/1404731007/photo/one-pit-pothole-with-dirty-water-on-the-gray-asphalt-road.jpg?s=612x612&amp;w=0&amp;k=20&amp;c=IyhzvmwROve_EjVYwqQtNFUrGeM-PDZsvCPXl6HL5M4=" TargetMode="External"/><Relationship Id="rId2131" Type="http://schemas.openxmlformats.org/officeDocument/2006/relationships/hyperlink" Target="https://images.unsplash.com/photo-1559724777-252ff7ea187f?w=400&amp;auto=format&amp;fit=crop&amp;q=60&amp;ixlib=rb-4.1.0&amp;ixid=M3wxMjA3fDB8MHxwaG90by1yZWxhdGVkfDJ8fHxlbnwwfHx8fHw%3D" TargetMode="External"/><Relationship Id="rId103" Type="http://schemas.openxmlformats.org/officeDocument/2006/relationships/hyperlink" Target="https://encrypted-tbn0.gstatic.com/images?q=tbn:ANd9GcTmLs4VMbGPydxFkll6dkIaX7Q3RYUNiQok5qkr4Oay7j-E3tfS2Q2mAPA6sokR9AZ25YA&amp;usqp=CAU" TargetMode="External"/><Relationship Id="rId310" Type="http://schemas.openxmlformats.org/officeDocument/2006/relationships/hyperlink" Target="https://media.istockphoto.com/id/1144320423/photo/crosswalk-people-crossing-in-downtown.jpg?s=612x612&amp;w=0&amp;k=20&amp;c=00bXtY6qbcH_3XGO_XJeCz167oR4VQYEy9D2hrg6w5M=" TargetMode="External"/><Relationship Id="rId548" Type="http://schemas.openxmlformats.org/officeDocument/2006/relationships/hyperlink" Target="https://media.istockphoto.com/id/949120374/photo/young-women-in-budapest-crossing-the-street-at-the-pedestrian-walkway.jpg?s=612x612&amp;w=0&amp;k=20&amp;c=Eqv_zuhb2eaTgperi0vhOJzYCKDTHijdO3gbLvzR70Q=" TargetMode="External"/><Relationship Id="rId755" Type="http://schemas.openxmlformats.org/officeDocument/2006/relationships/hyperlink" Target="https://media.cnn.com/api/v1/images/stellar/prod/gettyimages-1943409413.jpg" TargetMode="External"/><Relationship Id="rId962" Type="http://schemas.openxmlformats.org/officeDocument/2006/relationships/hyperlink" Target="https://media.istockphoto.com/id/1082720986/photo/expressway-and-modern-urban-architecture-in-qiantang-river-new-town-hangzhou-china.jpg?s=612x612&amp;w=0&amp;k=20&amp;c=NgXXcxKTldhCwkS0P7ocDtkZs1Yd2pp5GNbBu1JJmdo=" TargetMode="External"/><Relationship Id="rId1178" Type="http://schemas.openxmlformats.org/officeDocument/2006/relationships/hyperlink" Target="https://media.istockphoto.com/id/1153263086/photo/tree-that-fell-after-a-storm-in-the-urban-area-old-tree-trunk-fallen-in-the-city.jpg?s=612x612&amp;w=0&amp;k=20&amp;c=Zy1KLvINV7yWoT-Wek9fgd5lUwxo6nV3RN6_ZwbxadI=" TargetMode="External"/><Relationship Id="rId1385" Type="http://schemas.openxmlformats.org/officeDocument/2006/relationships/hyperlink" Target="https://encrypted-tbn0.gstatic.com/images?q=tbn:ANd9GcR6rEhk22kl5gunAeGozvYyRDG_832UOE01TkpCeQM9lKKGCfSBtfdrEMvAv8J4E5A_XJI&amp;usqp=CAU" TargetMode="External"/><Relationship Id="rId1592" Type="http://schemas.openxmlformats.org/officeDocument/2006/relationships/hyperlink" Target="https://learndrivesurvive.com.au/wp-content/uploads/2017/09/hazards-perception-skills.jpg" TargetMode="External"/><Relationship Id="rId2229" Type="http://schemas.openxmlformats.org/officeDocument/2006/relationships/hyperlink" Target="https://st4.depositphotos.com/7149852/30947/i/450/depositphotos_309477912-stock-photo-modern-car-with-luggage-box.jpg" TargetMode="External"/><Relationship Id="rId91" Type="http://schemas.openxmlformats.org/officeDocument/2006/relationships/hyperlink" Target="https://c8.alamy.com/comp/2JA250B/a-tired-driver-asleep-at-the-wheel-concept-of-man-tired-of-driving-a-man-driver-asleep-at-the-wheel-a-tired-person-sleeping-at-the-wheel-of-the-car-2JA250B.jpg" TargetMode="External"/><Relationship Id="rId408" Type="http://schemas.openxmlformats.org/officeDocument/2006/relationships/hyperlink" Target="https://media.istockphoto.com/id/163654089/photo/car-stopped-for-pedestrian.jpg?s=612x612&amp;w=0&amp;k=20&amp;c=KR2rAvp9aU4KYFs8G6d4g3hvW-HyMy70Eyk6i66zb1w=" TargetMode="External"/><Relationship Id="rId615" Type="http://schemas.openxmlformats.org/officeDocument/2006/relationships/hyperlink" Target="https://www.indystar.com/gcdn/presto/2020/07/05/PIND/05e92eb7-5288-4a67-90eb-e1042ab5091a-02_hoodmarch_RS.JPG" TargetMode="External"/><Relationship Id="rId822" Type="http://schemas.openxmlformats.org/officeDocument/2006/relationships/hyperlink" Target="https://media.istockphoto.com/id/646995866/photo/sydney-traffic-out-of-focus-4k.jpg?s=612x612&amp;w=0&amp;k=20&amp;c=FrTfCATbIwh8ZGP4KNID3rURdPISFSN8tvqVitenCto=" TargetMode="External"/><Relationship Id="rId1038" Type="http://schemas.openxmlformats.org/officeDocument/2006/relationships/hyperlink" Target="https://media.istockphoto.com/id/1096519286/photo/inner-city-road.jpg?s=612x612&amp;w=0&amp;k=20&amp;c=JGrRLAuxUTNye8b7gYQFRPI7fpHp2L9f0YXUNKMANh0=" TargetMode="External"/><Relationship Id="rId1245" Type="http://schemas.openxmlformats.org/officeDocument/2006/relationships/hyperlink" Target="https://st.depositphotos.com/1449225/2506/i/380/depositphotos_25067809-stock-photo-cars-crashed.jpg" TargetMode="External"/><Relationship Id="rId1452" Type="http://schemas.openxmlformats.org/officeDocument/2006/relationships/hyperlink" Target="https://media.istockphoto.com/id/501774837/photo/family-driving-a-car.jpg?s=612x612&amp;w=0&amp;k=20&amp;c=yVisAxobciSYGry8SMFMo-Kt6UzNwYwzwhQAk3MUOFw=" TargetMode="External"/><Relationship Id="rId1897" Type="http://schemas.openxmlformats.org/officeDocument/2006/relationships/hyperlink" Target="https://www.arrowheavyvehicletraining.com.au/wp-content/uploads/2020/04/safe-load-program.jpg" TargetMode="External"/><Relationship Id="rId1105" Type="http://schemas.openxmlformats.org/officeDocument/2006/relationships/hyperlink" Target="https://media.istockphoto.com/id/1369294013/photo/wild-koala-in-australia.jpg?s=612x612&amp;w=0&amp;k=20&amp;c=mjTmGwmXTjtC1CRIQX0hKfYAqkshPfLhI5wqRYuvvew=" TargetMode="External"/><Relationship Id="rId1312" Type="http://schemas.openxmlformats.org/officeDocument/2006/relationships/hyperlink" Target="https://st4.depositphotos.com/2247853/41569/i/380/depositphotos_415691830-stock-photo-cape-barren-goose-road-phillip.jpg" TargetMode="External"/><Relationship Id="rId1757" Type="http://schemas.openxmlformats.org/officeDocument/2006/relationships/hyperlink" Target="https://encrypted-tbn0.gstatic.com/images?q=tbn:ANd9GcQ63fE6spZHoPhZy-oYmT4ffXLGkbY50AGCGOe9TT6JD9x2gkWiCrj-mDiEm-0gW6xaivk&amp;usqp=CAU" TargetMode="External"/><Relationship Id="rId1964" Type="http://schemas.openxmlformats.org/officeDocument/2006/relationships/hyperlink" Target="https://media.istockphoto.com/id/1352925342/photo/caravan-holiday.jpg?s=612x612&amp;w=0&amp;k=20&amp;c=Stjv3LUKRW5FASG4z0RxSI9WPIoJf5nVJ9gMiGAvRps=" TargetMode="External"/><Relationship Id="rId49" Type="http://schemas.openxmlformats.org/officeDocument/2006/relationships/hyperlink" Target="https://st.depositphotos.com/2534189/2866/i/380/depositphotos_28666549-stock-photo-man-at-wheel-using-cell.jpg" TargetMode="External"/><Relationship Id="rId1617" Type="http://schemas.openxmlformats.org/officeDocument/2006/relationships/hyperlink" Target="https://bicyclecoalition.org/wp-content/uploads/2018/09/1.jpg" TargetMode="External"/><Relationship Id="rId1824" Type="http://schemas.openxmlformats.org/officeDocument/2006/relationships/hyperlink" Target="https://encrypted-tbn0.gstatic.com/images?q=tbn:ANd9GcSF4qVHsdl06ffZGNJcnTFrlzmVtIX34DvEeyaWoZDoyJGwmnKD2HcQ0h3kqOL4tOqu3lc&amp;usqp=CAU" TargetMode="External"/><Relationship Id="rId198" Type="http://schemas.openxmlformats.org/officeDocument/2006/relationships/hyperlink" Target="https://st.depositphotos.com/1116685/3497/i/380/depositphotos_34979839-stock-photo-businesswoman-drinking-coffee-while-driving.jpg" TargetMode="External"/><Relationship Id="rId2086" Type="http://schemas.openxmlformats.org/officeDocument/2006/relationships/hyperlink" Target="https://images.unsplash.com/photo-1706130578908-ffdf5ef1ae18?w=400&amp;auto=format&amp;fit=crop&amp;q=60&amp;ixlib=rb-4.1.0&amp;ixid=M3wxMjA3fDB8MHxwaG90by1yZWxhdGVkfDEwfHx8ZW58MHx8fHx8" TargetMode="External"/><Relationship Id="rId2293" Type="http://schemas.openxmlformats.org/officeDocument/2006/relationships/hyperlink" Target="https://media.istockphoto.com/id/182170895/photo/transport-of-scrap-metal-and-iron.jpg?s=612x612&amp;w=0&amp;k=20&amp;c=2i2Lyvd04SQf9753IbuzD7XTgYVVVbbVx5bAJ_f7HPk=" TargetMode="External"/><Relationship Id="rId265" Type="http://schemas.openxmlformats.org/officeDocument/2006/relationships/hyperlink" Target="https://st2.depositphotos.com/1806242/5531/i/380/depositphotos_55319041-stock-photo-young-man-reading-and-drinking.jpg" TargetMode="External"/><Relationship Id="rId472" Type="http://schemas.openxmlformats.org/officeDocument/2006/relationships/hyperlink" Target="https://images.unsplash.com/photo-1668661825431-a5526806e086?w=500&amp;auto=format&amp;fit=crop&amp;q=60&amp;ixlib=rb-4.1.0&amp;ixid=M3wxMjA3fDB8MHxzZWFyY2h8OTV8fHBlZGVzdHJpYW4lMjB3YWxraW5nJTIwZ3JlZW4lMjBsaWdodHxlbnwwfHwwfHx8MA%3D%3D" TargetMode="External"/><Relationship Id="rId2153" Type="http://schemas.openxmlformats.org/officeDocument/2006/relationships/hyperlink" Target="https://c8.alamy.com/comp/RMTBRR/overloaded-truck-on-a-country-road-in-rajasthan-trucks-carrying-heavy-loads-characterize-traffic-in-india-RMTBRR.jpg" TargetMode="External"/><Relationship Id="rId125" Type="http://schemas.openxmlformats.org/officeDocument/2006/relationships/hyperlink" Target="https://encrypted-tbn0.gstatic.com/images?q=tbn:ANd9GcRMFQZRfP-wYoDwRnlbwmIozvrM1nhlIkz3eA&amp;s" TargetMode="External"/><Relationship Id="rId332" Type="http://schemas.openxmlformats.org/officeDocument/2006/relationships/hyperlink" Target="https://media.istockphoto.com/id/1265396637/photo/woman-man-and-child-cross-road-at-crosswalk.jpg?s=612x612&amp;w=0&amp;k=20&amp;c=S6ED1VMafFotHBgiE_kU7eIyD57LoiLs8HmFWl5CQp4=" TargetMode="External"/><Relationship Id="rId777" Type="http://schemas.openxmlformats.org/officeDocument/2006/relationships/hyperlink" Target="https://media.istockphoto.com/id/1287538671/photo/crossing-the-street-at-a-pedestrian-crossing-and-looking-his-cellphone.jpg?s=612x612&amp;w=0&amp;k=20&amp;c=3LArQpBVUOczDvDP1Hz7cFnCE0MkeuC2FYxaKTuLYzY=" TargetMode="External"/><Relationship Id="rId984" Type="http://schemas.openxmlformats.org/officeDocument/2006/relationships/hyperlink" Target="https://st4.depositphotos.com/1585997/23461/i/450/depositphotos_234614154-stock-photo-brisbane-dec-2018-brisbane-city.jpg" TargetMode="External"/><Relationship Id="rId2013" Type="http://schemas.openxmlformats.org/officeDocument/2006/relationships/hyperlink" Target="https://images.unsplash.com/photo-1590079105886-f0f884bf4437?w=400&amp;auto=format&amp;fit=crop&amp;q=60&amp;ixlib=rb-4.1.0&amp;ixid=M3wxMjA3fDB8MHxzZWFyY2h8NDB8fHRydWNrfGVufDB8fDB8fHww" TargetMode="External"/><Relationship Id="rId2220" Type="http://schemas.openxmlformats.org/officeDocument/2006/relationships/hyperlink" Target="https://st.depositphotos.com/1005951/55876/i/450/depositphotos_558767506-stock-photo-very-large-roof-box-storage.jpg" TargetMode="External"/><Relationship Id="rId637" Type="http://schemas.openxmlformats.org/officeDocument/2006/relationships/hyperlink" Target="https://th-i.thgim.com/public/incoming/paq75q/article65863100.ece/alternates/LANDSCAPE_1200/vjkvg-ped%201.jpg" TargetMode="External"/><Relationship Id="rId844" Type="http://schemas.openxmlformats.org/officeDocument/2006/relationships/hyperlink" Target="https://st4.depositphotos.com/13485624/22136/i/450/depositphotos_221361216-stock-photo-melbourne-australia-january-2018-entrance.jpg" TargetMode="External"/><Relationship Id="rId1267" Type="http://schemas.openxmlformats.org/officeDocument/2006/relationships/hyperlink" Target="https://st2.depositphotos.com/3711911/12284/i/380/depositphotos_122844796-stock-photo-broken-traffic-light.jpg" TargetMode="External"/><Relationship Id="rId1474" Type="http://schemas.openxmlformats.org/officeDocument/2006/relationships/hyperlink" Target="https://images.unsplash.com/photo-1664391810644-6331d6780ea1?w=500&amp;auto=format&amp;fit=crop&amp;q=60&amp;ixlib=rb-4.1.0&amp;ixid=M3wxMjA3fDB8MHxzZWFyY2h8MTR8fGNhciUyMGF0JTIwcmVkJTIwbGlnaHR8ZW58MHx8MHx8fDA%3D" TargetMode="External"/><Relationship Id="rId1681" Type="http://schemas.openxmlformats.org/officeDocument/2006/relationships/hyperlink" Target="https://i.dailymail.co.uk/i/pix/2017/02/01/17/3CBC089B00000578-4180528-image-a-31_1485968419972.jpg" TargetMode="External"/><Relationship Id="rId2318" Type="http://schemas.openxmlformats.org/officeDocument/2006/relationships/hyperlink" Target="https://media.istockphoto.com/id/817784056/photo/tractor-full-with-hay-on-the-road.jpg?s=612x612&amp;w=0&amp;k=20&amp;c=zffcNmDCbx1tah_M6_DLjHkpbayGe5FEuOdfRa_7Y5w=" TargetMode="External"/><Relationship Id="rId704" Type="http://schemas.openxmlformats.org/officeDocument/2006/relationships/hyperlink" Target="https://media.istockphoto.com/id/535338031/photo/using-mobile-telephone-while-crossing-a-road.jpg?s=612x612&amp;w=0&amp;k=20&amp;c=Uo40cc_OtWsUwK8FveCQljGKcTzLq8V5zPAJipLbc2M=" TargetMode="External"/><Relationship Id="rId911" Type="http://schemas.openxmlformats.org/officeDocument/2006/relationships/hyperlink" Target="https://media.istockphoto.com/id/2151065259/photo/a-view-along-high-street-northcote-from-an-area-called-the-westgarth-village-towards-ruckers.jpg?s=612x612&amp;w=0&amp;k=20&amp;c=5HT07wCCTtRj-V03Db8By3e85P2s4cMfgjfPzUM1-p4=" TargetMode="External"/><Relationship Id="rId1127" Type="http://schemas.openxmlformats.org/officeDocument/2006/relationships/hyperlink" Target="https://townsquare.media/site/677/files/2022/01/attachment-RS34883_GettyImages-498050908-scr.jpg?w=1200&amp;h=0&amp;zc=1&amp;s=0&amp;a=t&amp;q=89&amp;format=natural" TargetMode="External"/><Relationship Id="rId1334" Type="http://schemas.openxmlformats.org/officeDocument/2006/relationships/hyperlink" Target="https://media.istockphoto.com/id/601945516/photo/high-water-street-flooding.jpg?s=612x612&amp;w=0&amp;k=20&amp;c=V4260s88J7KjO52aK9GaZqZS6bckaQW8nlWmfNcqzMM=" TargetMode="External"/><Relationship Id="rId1541" Type="http://schemas.openxmlformats.org/officeDocument/2006/relationships/hyperlink" Target="https://encrypted-tbn0.gstatic.com/images?q=tbn:ANd9GcR3kc5V_azgTbA15KeQX8MCCAEGSnKYVTi0dA&amp;s" TargetMode="External"/><Relationship Id="rId1779" Type="http://schemas.openxmlformats.org/officeDocument/2006/relationships/hyperlink" Target="https://images.carexpert.com.au/resize/960/-/app/uploads/2023/08/blocked-intersection-2.png" TargetMode="External"/><Relationship Id="rId1986" Type="http://schemas.openxmlformats.org/officeDocument/2006/relationships/hyperlink" Target="https://media.istockphoto.com/id/2155601198/photo/canoe-on-roof-top-of-car-van.jpg?s=612x612&amp;w=0&amp;k=20&amp;c=b5RIS1pVVzVSpcm51A5AqNbdhCLt_Y7BCr2EHgLVOUs=" TargetMode="External"/><Relationship Id="rId40" Type="http://schemas.openxmlformats.org/officeDocument/2006/relationships/hyperlink" Target="https://st4.depositphotos.com/5675252/22612/i/380/depositphotos_226125066-stock-photo-man-eating-pizza-coffee-while.jpg" TargetMode="External"/><Relationship Id="rId1401" Type="http://schemas.openxmlformats.org/officeDocument/2006/relationships/hyperlink" Target="https://media.istockphoto.com/id/1663006730/photo/driving-at-dusk-stop-sign-red-traffic-lights-rear-view-of-car-waiting.jpg?s=1024x1024&amp;w=is&amp;k=20&amp;c=WCd5j9XkHG9CnVqq97obOA3My--tTGfo5wpYHjZAysU=" TargetMode="External"/><Relationship Id="rId1639" Type="http://schemas.openxmlformats.org/officeDocument/2006/relationships/hyperlink" Target="https://encrypted-tbn0.gstatic.com/images?q=tbn:ANd9GcS_10gIXc51bXb5xQEhp7rGDMhdeby_y2r0SweM6FN7cqETJ4pF9ZTY_eDlSwrEKbY7TAg&amp;usqp=CAU" TargetMode="External"/><Relationship Id="rId1846" Type="http://schemas.openxmlformats.org/officeDocument/2006/relationships/hyperlink" Target="https://c8.alamy.com/comp/R91MPF/big-rig-long-haul-powerful-semi-truck-with-empty-light-weight-aluminum-flat-bed-semi-trailer-running-on-the-winter-road-in-convoy-with-another-semi-tr-R91MPF.jpg" TargetMode="External"/><Relationship Id="rId1706" Type="http://schemas.openxmlformats.org/officeDocument/2006/relationships/hyperlink" Target="https://images.unsplash.com/photo-1668079061766-0d7f1c2b7996?w=500&amp;auto=format&amp;fit=crop&amp;q=60&amp;ixlib=rb-4.1.0&amp;ixid=M3wxMjA3fDB8MHxzZWFyY2h8Mjd8fGNhciUyMGF0JTIwcmVkJTIwbGlnaHR8ZW58MHx8MHx8fDA%3D" TargetMode="External"/><Relationship Id="rId1913" Type="http://schemas.openxmlformats.org/officeDocument/2006/relationships/hyperlink" Target="https://media.istockphoto.com/id/946210052/photo/caravan-or-convoy-of-trucks-on-highway.jpg?s=1024x1024&amp;w=is&amp;k=20&amp;c=iBPkPhLDcLWhR6N-mwXba5W220LNEHO85SFXJpiC8K4=" TargetMode="External"/><Relationship Id="rId287" Type="http://schemas.openxmlformats.org/officeDocument/2006/relationships/hyperlink" Target="https://media.istockphoto.com/id/877029722/photo/mom-texts-while-driving-with-child-in-the-backseat.jpg?s=612x612&amp;w=0&amp;k=20&amp;c=3ox2pF4drxmlDYNl1DhA-6Znk_Srj10trA3xMhtkI50=" TargetMode="External"/><Relationship Id="rId494" Type="http://schemas.openxmlformats.org/officeDocument/2006/relationships/hyperlink" Target="https://media.istockphoto.com/id/478525372/photo/woman-crossing-the-street-at-pedestrian-crossing.jpg?s=612x612&amp;w=0&amp;k=20&amp;c=eLWbO3l_mLfgUYDadVagNAKpeuJ_DuRFby3V8H3gqLQ=" TargetMode="External"/><Relationship Id="rId2175" Type="http://schemas.openxmlformats.org/officeDocument/2006/relationships/hyperlink" Target="https://c8.alamy.com/comp/CXXWCW/overloaded-truck-on-the-road-to-mysore-india-CXXWCW.jpg" TargetMode="External"/><Relationship Id="rId147" Type="http://schemas.openxmlformats.org/officeDocument/2006/relationships/hyperlink" Target="https://images.pexels.com/photos/10466263/pexels-photo-10466263.jpeg" TargetMode="External"/><Relationship Id="rId354" Type="http://schemas.openxmlformats.org/officeDocument/2006/relationships/hyperlink" Target="https://azstaaldotnewseus2.blob.core.windows.net/blobaldotnewsef8d948ead1/wp-content/uploads/2024/10/pedestrian-safety-image-scaled.jpg" TargetMode="External"/><Relationship Id="rId799" Type="http://schemas.openxmlformats.org/officeDocument/2006/relationships/hyperlink" Target="https://www.metro.us/wp-content/uploads/2020/03/4_Jaywalking_080116_DSC_9573_2016-Derek-Kouyoumjian_2-scaled.jpg?quality=51&amp;w=1200" TargetMode="External"/><Relationship Id="rId1191" Type="http://schemas.openxmlformats.org/officeDocument/2006/relationships/hyperlink" Target="https://media.istockphoto.com/id/930733334/photo/old-road-potholes-holes-outside-city-autumn-weather-hdr.jpg?s=612x612&amp;w=0&amp;k=20&amp;c=hjFYMud5QkAIMdIolTIUk42TKDp0_W3pW8F1rzFMAIo=" TargetMode="External"/><Relationship Id="rId2035" Type="http://schemas.openxmlformats.org/officeDocument/2006/relationships/hyperlink" Target="https://images.unsplash.com/photo-1721804295754-1905f69c86ad?w=400&amp;auto=format&amp;fit=crop&amp;q=60&amp;ixlib=rb-4.1.0&amp;ixid=M3wxMjA3fDB8MHxzZWFyY2h8MTF8fHRydWNrJTIwY2Fycnlpbmd8ZW58MHx8MHx8fDA%3D" TargetMode="External"/><Relationship Id="rId561" Type="http://schemas.openxmlformats.org/officeDocument/2006/relationships/hyperlink" Target="https://media.istockphoto.com/id/1186042762/photo/kid-crossing-the-street-at-a-pedestrian-crossing-and-listening-to-music-on-his-cellphone.jpg?s=612x612&amp;w=0&amp;k=20&amp;c=jxuKkuDgIUc7Fwb4NJX1vE2dQciu7OPEouWXG3FKvPY=" TargetMode="External"/><Relationship Id="rId659" Type="http://schemas.openxmlformats.org/officeDocument/2006/relationships/hyperlink" Target="https://media.istockphoto.com/id/1368287848/photo/young-woman-walking-in-the-middle-of-crowded-street-and-looking-time-at-hand-watches-big-city.jpg?s=612x612&amp;w=0&amp;k=20&amp;c=7jve-VOvQHu8R0pWtBUuB3Q4UTvfw3-JMP8EXXX8YO4=" TargetMode="External"/><Relationship Id="rId866" Type="http://schemas.openxmlformats.org/officeDocument/2006/relationships/hyperlink" Target="https://media.istockphoto.com/id/513106144/photo/traffic-on-highway-with-cars.jpg?s=612x612&amp;w=0&amp;k=20&amp;c=dXm6BH6TnIHFu202PlQJNdM12lZQBt11Tkbqx85rHdQ=" TargetMode="External"/><Relationship Id="rId1289" Type="http://schemas.openxmlformats.org/officeDocument/2006/relationships/hyperlink" Target="https://st.depositphotos.com/1730665/1369/i/380/depositphotos_13697119-stock-photo-the-echidna-tachyglossus-aculeatus-crosses.jpg" TargetMode="External"/><Relationship Id="rId1496" Type="http://schemas.openxmlformats.org/officeDocument/2006/relationships/hyperlink" Target="https://images.unsplash.com/photo-1574868923023-e0cb604ad557?w=500&amp;auto=format&amp;fit=crop&amp;q=60&amp;ixlib=rb-4.1.0&amp;ixid=M3wxMjA3fDB8MHxwaG90by1yZWxhdGVkfDl8fHxlbnwwfHx8fHw%3D" TargetMode="External"/><Relationship Id="rId2242" Type="http://schemas.openxmlformats.org/officeDocument/2006/relationships/hyperlink" Target="https://st3.depositphotos.com/1184024/17751/i/450/depositphotos_177512610-stock-photo-caravan-with-bicycles-and-cars.jpg" TargetMode="External"/><Relationship Id="rId214" Type="http://schemas.openxmlformats.org/officeDocument/2006/relationships/hyperlink" Target="https://st5.depositphotos.com/1020218/67914/i/380/depositphotos_679146880-stock-photo-close-woman-using-mobile-phone.jpg" TargetMode="External"/><Relationship Id="rId421" Type="http://schemas.openxmlformats.org/officeDocument/2006/relationships/hyperlink" Target="https://media.istockphoto.com/id/1144320423/photo/crosswalk-people-crossing-in-downtown.jpg?s=612x612&amp;w=0&amp;k=20&amp;c=00bXtY6qbcH_3XGO_XJeCz167oR4VQYEy9D2hrg6w5M=" TargetMode="External"/><Relationship Id="rId519" Type="http://schemas.openxmlformats.org/officeDocument/2006/relationships/hyperlink" Target="https://media.istockphoto.com/id/1265455009/photo/woman-man-and-child-cross-road-at-crosswalk.jpg?s=612x612&amp;w=0&amp;k=20&amp;c=TxCT_JD_IUu1JPsFpEH1pe23mxwJLPwF7OQZLQm_WNs=" TargetMode="External"/><Relationship Id="rId1051" Type="http://schemas.openxmlformats.org/officeDocument/2006/relationships/hyperlink" Target="https://mesquitelocalnews.com/wp-content/uploads/2024/06/manholecoversdirect-314981-trafficpotholerubble-image1.jpg" TargetMode="External"/><Relationship Id="rId1149" Type="http://schemas.openxmlformats.org/officeDocument/2006/relationships/hyperlink" Target="https://h7.alamy.com/comp/FJ5NH1/american-bison-buffalo-bison-bison-male-crossing-a-street-usa-wyoming-FJ5NH1.jpg" TargetMode="External"/><Relationship Id="rId1356" Type="http://schemas.openxmlformats.org/officeDocument/2006/relationships/hyperlink" Target="https://www.highwaycode.com.ng/uploads/3/2/9/2/3292309/6877789.png?504" TargetMode="External"/><Relationship Id="rId2102" Type="http://schemas.openxmlformats.org/officeDocument/2006/relationships/hyperlink" Target="https://st5.depositphotos.com/49678184/72426/i/380/depositphotos_724268454-stock-photo-rear-view-overloaded-van-traveling.jpg" TargetMode="External"/><Relationship Id="rId726" Type="http://schemas.openxmlformats.org/officeDocument/2006/relationships/hyperlink" Target="https://media.istockphoto.com/id/1278097812/photo/girl-crossing-the-street-while-the-stoplight-is-showing-the-red-man-pedestrian-jaywalking.jpg?s=612x612&amp;w=0&amp;k=20&amp;c=PhNm6vhD91IkWs2A37aGiCFeD7wO_nf5W2rD3W3zuQ0=" TargetMode="External"/><Relationship Id="rId933" Type="http://schemas.openxmlformats.org/officeDocument/2006/relationships/hyperlink" Target="https://media.istockphoto.com/id/1159476981/photo/panoramic-mountain-road.jpg?s=612x612&amp;w=0&amp;k=20&amp;c=dzwyML72TB5X_Xrb31f0TyvIUBh7fyrrFbyNiY4mBPY=" TargetMode="External"/><Relationship Id="rId1009" Type="http://schemas.openxmlformats.org/officeDocument/2006/relationships/hyperlink" Target="https://st3.depositphotos.com/30030580/34805/i/450/depositphotos_348055962-stock-photo-the-m1-motorway-is-at.jpg" TargetMode="External"/><Relationship Id="rId1563" Type="http://schemas.openxmlformats.org/officeDocument/2006/relationships/hyperlink" Target="https://media.istockphoto.com/id/1527377922/photo/congested-motorway-in-the-twilight.jpg?s=612x612&amp;w=0&amp;k=20&amp;c=1MDDDYhqEkGKwV4pvCjSGdMFIt6mXM7EOoECoRrg3rs=" TargetMode="External"/><Relationship Id="rId1770" Type="http://schemas.openxmlformats.org/officeDocument/2006/relationships/hyperlink" Target="https://images.carexpert.com.au/resize/960/-/cms/v1/media/2023-07-blocked-intersection.jpg" TargetMode="External"/><Relationship Id="rId1868" Type="http://schemas.openxmlformats.org/officeDocument/2006/relationships/hyperlink" Target="https://media.istockphoto.com/id/2171315771/photo/car-for-traveling-with-a-mountain-road.jpg?s=612x612&amp;w=0&amp;k=20&amp;c=eirBpiMqIcKhocic8rMCULfiGGIwz5IyDRoFnkV617o=" TargetMode="External"/><Relationship Id="rId62" Type="http://schemas.openxmlformats.org/officeDocument/2006/relationships/hyperlink" Target="https://static.vecteezy.com/system/resources/previews/045/478/110/large_2x/young-woman-using-mobile-phone-while-driving-car-on-highway-road-during-sunset-womandriver-has-accident-calling-with-smartphone-for-help-business-woman-busy-driving-concept-photo.jpg" TargetMode="External"/><Relationship Id="rId1216" Type="http://schemas.openxmlformats.org/officeDocument/2006/relationships/hyperlink" Target="https://media.istockphoto.com/id/1848810166/photo/water-in-pothole.jpg?s=612x612&amp;w=0&amp;k=20&amp;c=jRRnzBxgBAM-mIM5-2hDbCv9Ka_vkWgS4t0oZrD-2lM=" TargetMode="External"/><Relationship Id="rId1423" Type="http://schemas.openxmlformats.org/officeDocument/2006/relationships/hyperlink" Target="https://www.highwaycode.com.ng/uploads/3/2/9/2/3292309/6877789.png?504" TargetMode="External"/><Relationship Id="rId1630" Type="http://schemas.openxmlformats.org/officeDocument/2006/relationships/hyperlink" Target="https://encrypted-tbn0.gstatic.com/images?q=tbn:ANd9GcRmN6wQnfCTR9GVSXZn2lO1R4tC6evb76WNBQ&amp;s" TargetMode="External"/><Relationship Id="rId1728" Type="http://schemas.openxmlformats.org/officeDocument/2006/relationships/hyperlink" Target="https://blogger.googleusercontent.com/img/b/R29vZ2xl/AVvXsEh9_XXl81YI8WIS6t-ThmVJ6fvM3tS9eEWg13fcQirGBThD15ffn9dZrxhD2LGEfjethGqcOJ3XEFptPRBdJ0iFa7Bz0b_HFSzEeUvJ8CFdGOnLHkswhvoCuUOxaYSbBuXALnmNeA/s1600/reddit+-+red+light+fine.png" TargetMode="External"/><Relationship Id="rId1935" Type="http://schemas.openxmlformats.org/officeDocument/2006/relationships/hyperlink" Target="https://media.istockphoto.com/id/1465157700/photo/brightly-red-colored-semi-truck-speeding-on-a-two-lane-highway-with-cars-in-background-under.jpg?s=612x612&amp;w=0&amp;k=20&amp;c=cfbbPy2ylvFGRULNLGO_Ucm-C5DsOJMFHiZBdKGsq3c=" TargetMode="External"/><Relationship Id="rId2197" Type="http://schemas.openxmlformats.org/officeDocument/2006/relationships/hyperlink" Target="https://st4.depositphotos.com/22797156/24497/i/450/depositphotos_244970934-stock-photo-landscape-moroccan-desert.jpg" TargetMode="External"/><Relationship Id="rId169" Type="http://schemas.openxmlformats.org/officeDocument/2006/relationships/hyperlink" Target="https://media.istockphoto.com/id/2024952271/photo/asian-lady-holding-hamburger-and-french-fries-to-eat-in-car-dangerous-and-risk-an-accident.webp?s=2048x2048&amp;w=is&amp;k=20&amp;c=bw7NsEOEORfD3GSkyGj8xugiS-xpk5BXFyh-2TyOGrg=" TargetMode="External"/><Relationship Id="rId376" Type="http://schemas.openxmlformats.org/officeDocument/2006/relationships/hyperlink" Target="https://freight.cargo.site/t/original/i/34bf443e9c7940adf00d264f4b3c422233e1dc9ef4ffcb2a31eb1adeff92be95/Stands_Cover.jpg" TargetMode="External"/><Relationship Id="rId583" Type="http://schemas.openxmlformats.org/officeDocument/2006/relationships/hyperlink" Target="https://media.istockphoto.com/id/1086855128/photo/shopping-street-melbourne-australia.jpg?s=612x612&amp;w=0&amp;k=20&amp;c=OmP0emjl1yAc9cJzIqLosa8CC6BsZTJgiXHh6rHg7Yo=" TargetMode="External"/><Relationship Id="rId790" Type="http://schemas.openxmlformats.org/officeDocument/2006/relationships/hyperlink" Target="https://st4.depositphotos.com/21607914/23781/i/380/depositphotos_237818180-stock-photo-file-chinese-jaywalkers-walk-road.jpg" TargetMode="External"/><Relationship Id="rId2057" Type="http://schemas.openxmlformats.org/officeDocument/2006/relationships/hyperlink" Target="https://media.istockphoto.com/id/938116384/photo/truck-transporting-wood.jpg?s=612x612&amp;w=0&amp;k=20&amp;c=bpySouUP_1SQ_7LxBdtmulFnZ_5nN1L_vfnFm0lX5Ls=" TargetMode="External"/><Relationship Id="rId2264" Type="http://schemas.openxmlformats.org/officeDocument/2006/relationships/hyperlink" Target="https://st5.depositphotos.com/5388620/76518/i/450/depositphotos_765183352-stock-photo-overburdened-truck-travels-highway-illustrating.jpg" TargetMode="External"/><Relationship Id="rId4" Type="http://schemas.openxmlformats.org/officeDocument/2006/relationships/hyperlink" Target="https://cdn.hswstatic.com/gif/driving-dogs-lap.jpg" TargetMode="External"/><Relationship Id="rId236" Type="http://schemas.openxmlformats.org/officeDocument/2006/relationships/hyperlink" Target="https://st5.depositphotos.com/9045224/75564/i/380/depositphotos_755649942-stock-photo-woman-applying-lipstick-while-seated.jpg" TargetMode="External"/><Relationship Id="rId443" Type="http://schemas.openxmlformats.org/officeDocument/2006/relationships/hyperlink" Target="https://st3.depositphotos.com/16849182/33660/i/380/depositphotos_336604854-stock-photo-one-pedestrian-walking-through-the.jpg" TargetMode="External"/><Relationship Id="rId650" Type="http://schemas.openxmlformats.org/officeDocument/2006/relationships/hyperlink" Target="https://media.istockphoto.com/id/1181241726/photo/young-man-walking-at-crosswalk-on-a-sao-paulos-street.jpg?s=612x612&amp;w=0&amp;k=20&amp;c=BbYxvaMZazg6gppfk1l9Rj5Q25f6hsaA3NbBcmPdGsM=" TargetMode="External"/><Relationship Id="rId888" Type="http://schemas.openxmlformats.org/officeDocument/2006/relationships/hyperlink" Target="https://media.istockphoto.com/id/499099945/photo/highway-401-during-the-day.jpg?s=612x612&amp;w=0&amp;k=20&amp;c=2oSv44SMWGfPu6jeL8n_jIw85dYAa00GgPowQ2R3UYI=" TargetMode="External"/><Relationship Id="rId1073" Type="http://schemas.openxmlformats.org/officeDocument/2006/relationships/hyperlink" Target="https://media.istockphoto.com/id/898963320/photo/waterfilled-pothole-on-asphalted-road.jpg?s=612x612&amp;w=0&amp;k=20&amp;c=Kk9Nee9qN8Gu6dcjaI8tlGl8580GncHSq1D8cHxtSRc=" TargetMode="External"/><Relationship Id="rId1280" Type="http://schemas.openxmlformats.org/officeDocument/2006/relationships/hyperlink" Target="https://st4.depositphotos.com/27201292/37854/i/380/depositphotos_378541584-stock-photo-deer-passing-street-surrounded-people.jpg" TargetMode="External"/><Relationship Id="rId2124" Type="http://schemas.openxmlformats.org/officeDocument/2006/relationships/hyperlink" Target="https://st3.depositphotos.com/2047341/14695/i/450/depositphotos_146959423-stock-photo-the-mercato-market-of-addis.jpg" TargetMode="External"/><Relationship Id="rId2331" Type="http://schemas.openxmlformats.org/officeDocument/2006/relationships/hyperlink" Target="https://encrypted-tbn0.gstatic.com/images?q=tbn:ANd9GcTmzpW5ILbyjOtf2kmp0w0nAQyr1PO9IRJNSyfD1_FrJ4n_21Igw8gET2j3-bvIsGZr1Vg&amp;usqp=CAU" TargetMode="External"/><Relationship Id="rId303" Type="http://schemas.openxmlformats.org/officeDocument/2006/relationships/hyperlink" Target="https://media.istockphoto.com/id/1287919965/photo/mother-and-son-crossing-street.jpg?s=612x612&amp;w=0&amp;k=20&amp;c=E5DZ93TJOCs7XKu3sVsrY_Hnq_HI3sPmVzw0x3KtJq0=" TargetMode="External"/><Relationship Id="rId748" Type="http://schemas.openxmlformats.org/officeDocument/2006/relationships/hyperlink" Target="https://encrypted-tbn0.gstatic.com/images?q=tbn:ANd9GcT9w1XHvVMUjqRe5CdatLuU4tvf4m4-uFFCAQ&amp;s" TargetMode="External"/><Relationship Id="rId955" Type="http://schemas.openxmlformats.org/officeDocument/2006/relationships/hyperlink" Target="https://media.istockphoto.com/id/894541466/photo/paulista-avenue-sao-paulo-brazil.jpg?s=612x612&amp;w=0&amp;k=20&amp;c=g1P9DuGHTcrcvgP6MfVd37Ct-8g9ErwOqIALdkmcb2U=" TargetMode="External"/><Relationship Id="rId1140" Type="http://schemas.openxmlformats.org/officeDocument/2006/relationships/hyperlink" Target="https://www.getready.qld.gov.au/sites/default/files/styles/hero_image_desktop_basic/public/2019-09/Wolfram%20Creek%20Road%20%282%29.jpg?itok=2en5pyhX" TargetMode="External"/><Relationship Id="rId1378" Type="http://schemas.openxmlformats.org/officeDocument/2006/relationships/hyperlink" Target="https://media.istockphoto.com/id/857615658/photo/city-traffic-detroit-michigan.jpg?s=612x612&amp;w=0&amp;k=20&amp;c=SQQzgvaB_encu2adj2Uge5pMAGKlA8A1th1KaUTPJNw=" TargetMode="External"/><Relationship Id="rId1585" Type="http://schemas.openxmlformats.org/officeDocument/2006/relationships/hyperlink" Target="https://media.istockphoto.com/id/1527434333/photo/roadside-parking-by-a-bicycle-lane.jpg?s=612x612&amp;w=0&amp;k=20&amp;c=w08Ba-JM0gdSk2tpOSU_oG5EAG4vuG-zNS2Log05x60=" TargetMode="External"/><Relationship Id="rId1792" Type="http://schemas.openxmlformats.org/officeDocument/2006/relationships/hyperlink" Target="https://carfromjapan.com/wp-content/uploads/2020/08/How-to-Stay-Centered-in-Your-Lane.jpg" TargetMode="External"/><Relationship Id="rId84" Type="http://schemas.openxmlformats.org/officeDocument/2006/relationships/hyperlink" Target="https://media.gettyimages.com/id/1143801187/photo/young-girl-is-putting-lipstick-in-the-traffic-jam-in-rainy-day.jpg?s=612x612&amp;w=gi&amp;k=20&amp;c=Et3dGWYdv4VZDY3n6xdXWou6oo-5_Mf-h_W0Xr1xF1A=" TargetMode="External"/><Relationship Id="rId510" Type="http://schemas.openxmlformats.org/officeDocument/2006/relationships/hyperlink" Target="https://media.istockphoto.com/id/1265396637/photo/woman-man-and-child-cross-road-at-crosswalk.jpg?s=612x612&amp;w=0&amp;k=20&amp;c=S6ED1VMafFotHBgiE_kU7eIyD57LoiLs8HmFWl5CQp4=" TargetMode="External"/><Relationship Id="rId608" Type="http://schemas.openxmlformats.org/officeDocument/2006/relationships/hyperlink" Target="https://h7.alamy.com/comp/2S2270W/people-cross-the-road-on-a-red-traffic-light-pedestrian-violation-of-traffic-rules-urban-street-cape-town-south-africa-31-oct-2023-2S2270W.jpg" TargetMode="External"/><Relationship Id="rId815" Type="http://schemas.openxmlformats.org/officeDocument/2006/relationships/hyperlink" Target="https://st3.depositphotos.com/1000471/15143/i/450/depositphotos_151433476-stock-photo-car-traffic-on-a-highway.jpg" TargetMode="External"/><Relationship Id="rId1238" Type="http://schemas.openxmlformats.org/officeDocument/2006/relationships/hyperlink" Target="https://st.depositphotos.com/3041475/4225/i/380/depositphotos_42253593-stock-photo-earthquake.jpg" TargetMode="External"/><Relationship Id="rId1445" Type="http://schemas.openxmlformats.org/officeDocument/2006/relationships/hyperlink" Target="https://media.istockphoto.com/id/1854349596/photo/happy-african-american-family-enjoying-car-ride-together.jpg?s=612x612&amp;w=0&amp;k=20&amp;c=0HcmeSgvHFdaeLNSmuacFGhJ1p3Pr5cgIe4ooS_YWy0=" TargetMode="External"/><Relationship Id="rId1652" Type="http://schemas.openxmlformats.org/officeDocument/2006/relationships/hyperlink" Target="https://media.istockphoto.com/id/182138065/photo/dangerous-crossing.jpg?s=612x612&amp;w=0&amp;k=20&amp;c=fBB4qAsCnRMQsjqZdrVK9q3yloKccC7WWh5CvlBb_jE=" TargetMode="External"/><Relationship Id="rId1000" Type="http://schemas.openxmlformats.org/officeDocument/2006/relationships/hyperlink" Target="https://st4.depositphotos.com/2843107/25659/i/450/depositphotos_256595566-stock-photo-australia-wa-perth.jpg" TargetMode="External"/><Relationship Id="rId1305" Type="http://schemas.openxmlformats.org/officeDocument/2006/relationships/hyperlink" Target="https://st.depositphotos.com/18723914/57465/i/380/depositphotos_574652032-stock-photo-kangaroo-road-kangaroo-island-australia.jpg" TargetMode="External"/><Relationship Id="rId1957" Type="http://schemas.openxmlformats.org/officeDocument/2006/relationships/hyperlink" Target="https://media.istockphoto.com/id/1254690616/photo/car-and-caravan-on-holiday.jpg?s=612x612&amp;w=0&amp;k=20&amp;c=8-Uhp11nEE5TwOPn8WYr1kRM_BBn6IeT_MiALe6Wmos=" TargetMode="External"/><Relationship Id="rId1512" Type="http://schemas.openxmlformats.org/officeDocument/2006/relationships/hyperlink" Target="https://media.istockphoto.com/id/1045979216/photo/cars-moving-on-the-road-in-city-in-late-evening.jpg?s=612x612&amp;w=0&amp;k=20&amp;c=hFfW7WzeeR3X7FTmwkZ0u4_bBzRK1iJcZwisOgdJB3M=" TargetMode="External"/><Relationship Id="rId1817" Type="http://schemas.openxmlformats.org/officeDocument/2006/relationships/hyperlink" Target="https://encrypted-tbn0.gstatic.com/images?q=tbn:ANd9GcRL3QJh2rgRppDgmT1c9Dkk96zAVDLAcyKptrKrIvsNWbwiU3oH_7zjIVv9RRgHnBTN4PQ&amp;usqp=CAU" TargetMode="External"/><Relationship Id="rId11" Type="http://schemas.openxmlformats.org/officeDocument/2006/relationships/hyperlink" Target="https://cdn.prod.website-files.com/608c6d5b8637279ee57c44d9/626263396fca14f25eb9a229_Distracted%20Driving%20feature-min.png" TargetMode="External"/><Relationship Id="rId398" Type="http://schemas.openxmlformats.org/officeDocument/2006/relationships/hyperlink" Target="https://media.istockphoto.com/id/1138882552/photo/crossing-in-the-rain.jpg?s=612x612&amp;w=0&amp;k=20&amp;c=y9v3epb4_qWdHWvF_aVRBW5xZ4wTWZgkqUhaG9xH3Vo=" TargetMode="External"/><Relationship Id="rId2079" Type="http://schemas.openxmlformats.org/officeDocument/2006/relationships/hyperlink" Target="https://media.istockphoto.com/id/1340562165/photo/a-trailer-with-hay-ready-to-be-towed-zamora-spain.jpg?s=612x612&amp;w=0&amp;k=20&amp;c=Pg1GtgJawmQLip89KgajyZtE3vivZ08CNYdF7dDhFPw=" TargetMode="External"/><Relationship Id="rId160" Type="http://schemas.openxmlformats.org/officeDocument/2006/relationships/hyperlink" Target="https://images.pexels.com/photos/4084276/pexels-photo-4084276.jpeg" TargetMode="External"/><Relationship Id="rId2286" Type="http://schemas.openxmlformats.org/officeDocument/2006/relationships/hyperlink" Target="https://media.istockphoto.com/id/1141023496/photo/trailer-load-of-trash.jpg?s=612x612&amp;w=0&amp;k=20&amp;c=8WtXL79RLz_3LU9h-ru337_rLfNO1nZjdccK4Yk_CaQ=" TargetMode="External"/><Relationship Id="rId258" Type="http://schemas.openxmlformats.org/officeDocument/2006/relationships/hyperlink" Target="https://st5.depositphotos.com/3773545/71750/i/380/depositphotos_717508808-stock-photo-young-woman-listening-voice-message.jpg" TargetMode="External"/><Relationship Id="rId465" Type="http://schemas.openxmlformats.org/officeDocument/2006/relationships/hyperlink" Target="https://images.unsplash.com/photo-1717199891158-66008d9c68b5?w=500&amp;auto=format&amp;fit=crop&amp;q=60&amp;ixlib=rb-4.1.0&amp;ixid=M3wxMjA3fDB8MHxzZWFyY2h8NjZ8fHBlZGVzdHJpYW4lMjB3YWxraW5nJTIwZ3JlZW4lMjBsaWdodHxlbnwwfHwwfHx8MA%3D%3D" TargetMode="External"/><Relationship Id="rId672" Type="http://schemas.openxmlformats.org/officeDocument/2006/relationships/hyperlink" Target="https://media.istockphoto.com/id/1404143018/photo/vertical-photo-of-women-crossing-the-street-together-while-using-a-mobile.jpg?s=612x612&amp;w=0&amp;k=20&amp;c=cnp2t6Yk-vLXLMOOMT6nsCEc2gTPVuxp25ZYUSlRWSw=" TargetMode="External"/><Relationship Id="rId1095" Type="http://schemas.openxmlformats.org/officeDocument/2006/relationships/hyperlink" Target="https://st.depositphotos.com/1730665/1369/i/380/depositphotos_13697119-stock-photo-the-echidna-tachyglossus-aculeatus-crosses.jpg" TargetMode="External"/><Relationship Id="rId2146" Type="http://schemas.openxmlformats.org/officeDocument/2006/relationships/hyperlink" Target="https://www.arrivealive.mobi/ckfinder/userfiles/images/overload%20bakkie.jpg" TargetMode="External"/><Relationship Id="rId2353" Type="http://schemas.openxmlformats.org/officeDocument/2006/relationships/hyperlink" Target="https://www.truckloadaustralia.com.au/thumbnaillarge/M_full_img-dark2.jpg" TargetMode="External"/><Relationship Id="rId118" Type="http://schemas.openxmlformats.org/officeDocument/2006/relationships/hyperlink" Target="https://encrypted-tbn0.gstatic.com/images?q=tbn:ANd9GcQHT8CiwIYQlBMMMwkmE2Gk0G77PMfEoeJcAaZVgyFGtq33nRDSqYR5_6aYe4kZyUAVqNQ&amp;usqp=CAU" TargetMode="External"/><Relationship Id="rId325" Type="http://schemas.openxmlformats.org/officeDocument/2006/relationships/hyperlink" Target="https://images.unsplash.com/photo-1623029861914-bd883be5969e?w=500&amp;auto=format&amp;fit=crop&amp;q=60&amp;ixlib=rb-4.1.0&amp;ixid=M3wxMjA3fDB8MHxzZWFyY2h8MTIyfHxwZWRlc3RyaWFuJTIwd2Fsa2luZyUyMGdyZWVuJTIwbGlnaHR8ZW58MHx8MHx8fDA%3D" TargetMode="External"/><Relationship Id="rId532" Type="http://schemas.openxmlformats.org/officeDocument/2006/relationships/hyperlink" Target="https://media.istockphoto.com/id/1165101627/photo/group-of-children-crossing-road-on-zebra-crossing.jpg?s=612x612&amp;w=0&amp;k=20&amp;c=lJqdR1cBzAXlx-LJ2Q4-K6XkBbsBUxOaHUudfbFXyvE=" TargetMode="External"/><Relationship Id="rId977" Type="http://schemas.openxmlformats.org/officeDocument/2006/relationships/hyperlink" Target="https://st4.depositphotos.com/1841867/28185/i/450/depositphotos_281851370-stock-photo-m1-eastern-distributor-highway-view.jpg" TargetMode="External"/><Relationship Id="rId1162" Type="http://schemas.openxmlformats.org/officeDocument/2006/relationships/hyperlink" Target="https://media.istockphoto.com/id/178737837/photo/closeup-of-the-landslide-of-a-blocked-road.jpg?s=612x612&amp;w=0&amp;k=20&amp;c=-M46JyWIGWdZ0g-VdzVFO6gw0Dgw-03NW1oShtVvENE=" TargetMode="External"/><Relationship Id="rId2006" Type="http://schemas.openxmlformats.org/officeDocument/2006/relationships/hyperlink" Target="https://images.unsplash.com/photo-1591768793355-74d04bb6608f?w=400&amp;auto=format&amp;fit=crop&amp;q=60&amp;ixlib=rb-4.1.0&amp;ixid=M3wxMjA3fDB8MHxzZWFyY2h8MTB8fHRydWNrfGVufDB8fDB8fHww" TargetMode="External"/><Relationship Id="rId2213" Type="http://schemas.openxmlformats.org/officeDocument/2006/relationships/hyperlink" Target="https://st2.depositphotos.com/1471096/48330/i/450/depositphotos_483307244-stock-photo-colorful-car-loaded-things-road.jpg" TargetMode="External"/><Relationship Id="rId837" Type="http://schemas.openxmlformats.org/officeDocument/2006/relationships/hyperlink" Target="https://static8.depositphotos.com/1421348/902/i/380/depositphotos_9022938-stock-photo-city-highway.jpg" TargetMode="External"/><Relationship Id="rId1022" Type="http://schemas.openxmlformats.org/officeDocument/2006/relationships/hyperlink" Target="https://st3.depositphotos.com/29384342/33879/i/450/depositphotos_338797404-stock-photo-transit-road-melbourne-skyline-background.jpg" TargetMode="External"/><Relationship Id="rId1467" Type="http://schemas.openxmlformats.org/officeDocument/2006/relationships/hyperlink" Target="https://media.istockphoto.com/id/173606170/photo/cars-and-winter.jpg?s=612x612&amp;w=0&amp;k=20&amp;c=Kx1FFqI9phN87xW6hcSX0WLeZyTqn3bCQdr-Jccyec8=" TargetMode="External"/><Relationship Id="rId1674" Type="http://schemas.openxmlformats.org/officeDocument/2006/relationships/hyperlink" Target="https://media.istockphoto.com/id/1143439122/photo/aerial-pedestrian-crowd-crossing-top-view.jpg?s=612x612&amp;w=0&amp;k=20&amp;c=r-nP1jEDXcx8I6iz4uv_H6zR0bw3LvJY1spadPxTYVE=" TargetMode="External"/><Relationship Id="rId1881" Type="http://schemas.openxmlformats.org/officeDocument/2006/relationships/hyperlink" Target="https://c8.alamy.com/comp/C4053X/dover-port-aerial-view-trucks-lorries-trailers-queuing-below-gantry-C4053X.jpg" TargetMode="External"/><Relationship Id="rId904" Type="http://schemas.openxmlformats.org/officeDocument/2006/relationships/hyperlink" Target="https://media.istockphoto.com/id/646995866/photo/sydney-traffic-out-of-focus-4k.jpg?s=612x612&amp;w=0&amp;k=20&amp;c=FrTfCATbIwh8ZGP4KNID3rURdPISFSN8tvqVitenCto=" TargetMode="External"/><Relationship Id="rId1327" Type="http://schemas.openxmlformats.org/officeDocument/2006/relationships/hyperlink" Target="https://media.istockphoto.com/id/1369294013/photo/wild-koala-in-australia.jpg?s=612x612&amp;w=0&amp;k=20&amp;c=mjTmGwmXTjtC1CRIQX0hKfYAqkshPfLhI5wqRYuvvew=" TargetMode="External"/><Relationship Id="rId1534" Type="http://schemas.openxmlformats.org/officeDocument/2006/relationships/hyperlink" Target="https://encrypted-tbn0.gstatic.com/images?q=tbn:ANd9GcR6rEhk22kl5gunAeGozvYyRDG_832UOE01TkpCeQM9lKKGCfSBtfdrEMvAv8J4E5A_XJI&amp;usqp=CAU" TargetMode="External"/><Relationship Id="rId1741" Type="http://schemas.openxmlformats.org/officeDocument/2006/relationships/hyperlink" Target="https://thatsmyspot.com.au/wp-content/uploads/2022/11/Illegal-parking-along-sidewalk-image.jpeg" TargetMode="External"/><Relationship Id="rId1979" Type="http://schemas.openxmlformats.org/officeDocument/2006/relationships/hyperlink" Target="https://media.istockphoto.com/id/467838539/photo/car-with-kayak-canoe-on-top-blue-sky-active-lifestyle.jpg?s=612x612&amp;w=0&amp;k=20&amp;c=KtkCc8AZIL3_rmKzib3tIBGYaM3s5R_N5BQWPrcAcRA=" TargetMode="External"/><Relationship Id="rId33" Type="http://schemas.openxmlformats.org/officeDocument/2006/relationships/hyperlink" Target="https://st4.depositphotos.com/1635543/41922/i/380/depositphotos_419223430-stock-photo-asian-woman-eating-food-fastfood.jpg" TargetMode="External"/><Relationship Id="rId1601" Type="http://schemas.openxmlformats.org/officeDocument/2006/relationships/hyperlink" Target="https://i.dailymail.co.uk/i/pix/2017/02/01/17/3CBC089B00000578-4180528-image-a-31_1485968419972.jpg" TargetMode="External"/><Relationship Id="rId1839" Type="http://schemas.openxmlformats.org/officeDocument/2006/relationships/hyperlink" Target="https://encrypted-tbn0.gstatic.com/images?q=tbn:ANd9GcQ1FWtGivGZo1cG6g6FWzJCOHl85yd0idlUSw&amp;s" TargetMode="External"/><Relationship Id="rId182" Type="http://schemas.openxmlformats.org/officeDocument/2006/relationships/hyperlink" Target="https://st4.depositphotos.com/5675252/22611/i/380/depositphotos_226118748-stock-photo-man-driving-car-while-eating.jpg" TargetMode="External"/><Relationship Id="rId1906" Type="http://schemas.openxmlformats.org/officeDocument/2006/relationships/hyperlink" Target="https://images.nature.com/lw1200/magazine-assets/d41586-019-00191-0/d41586-019-00191-0_16402114.jpg" TargetMode="External"/><Relationship Id="rId487" Type="http://schemas.openxmlformats.org/officeDocument/2006/relationships/hyperlink" Target="https://images.pexels.com/photos/8576222/pexels-photo-8576222.jpeg" TargetMode="External"/><Relationship Id="rId694" Type="http://schemas.openxmlformats.org/officeDocument/2006/relationships/hyperlink" Target="https://media.istockphoto.com/id/2156838764/photo/woman-eating-ice-cream-in-urban-setting.jpg?s=612x612&amp;w=0&amp;k=20&amp;c=xav-nGRyWU4Q4oIdN6TD0w1pSkbPLdK8sLiRuXyBiak=" TargetMode="External"/><Relationship Id="rId2070" Type="http://schemas.openxmlformats.org/officeDocument/2006/relationships/hyperlink" Target="https://media.istockphoto.com/id/869278240/photo/truck-carrying-hay-in-his-body-making-hay-for-the-winter.jpg?s=612x612&amp;w=0&amp;k=20&amp;c=ia_AYinfTWXpvRHb6wht7Ozj5N69MZEWHqTVVShVbno=" TargetMode="External"/><Relationship Id="rId2168" Type="http://schemas.openxmlformats.org/officeDocument/2006/relationships/hyperlink" Target="https://i.tribune.com.pk/media/images/934725-van-1439066225/934725-van-1439066225.JPG" TargetMode="External"/><Relationship Id="rId347" Type="http://schemas.openxmlformats.org/officeDocument/2006/relationships/hyperlink" Target="https://www.legalexaminer.com/wp-content/claris-images-uploads/pedestrian-crossing@large.jpg" TargetMode="External"/><Relationship Id="rId999" Type="http://schemas.openxmlformats.org/officeDocument/2006/relationships/hyperlink" Target="https://st4.depositphotos.com/2843107/25659/i/450/depositphotos_256595566-stock-photo-australia-wa-perth.jpg" TargetMode="External"/><Relationship Id="rId1184" Type="http://schemas.openxmlformats.org/officeDocument/2006/relationships/hyperlink" Target="https://media.istockphoto.com/id/2167336094/photo/road-blocked-by-uprooted-tree-aftermath-of-severe-weather-in-poconos-forest-area.jpg?s=612x612&amp;w=0&amp;k=20&amp;c=nmN7n_ORML-fRbKqI5cii30ksjLIHoRSTVKcUyPKwhk=" TargetMode="External"/><Relationship Id="rId2028" Type="http://schemas.openxmlformats.org/officeDocument/2006/relationships/hyperlink" Target="https://images.unsplash.com/photo-1707905862671-5227ea6099ef?w=400&amp;auto=format&amp;fit=crop&amp;q=60&amp;ixlib=rb-4.1.0&amp;ixid=M3wxMjA3fDB8MHxzZWFyY2h8NHx8dHJ1Y2slMjBjYXJyeWluZ3xlbnwwfHwwfHx8MA%3D%3D" TargetMode="External"/><Relationship Id="rId554" Type="http://schemas.openxmlformats.org/officeDocument/2006/relationships/hyperlink" Target="https://www.indystar.com/gcdn/presto/2020/07/05/PIND/05e92eb7-5288-4a67-90eb-e1042ab5091a-02_hoodmarch_RS.JPG" TargetMode="External"/><Relationship Id="rId761" Type="http://schemas.openxmlformats.org/officeDocument/2006/relationships/hyperlink" Target="https://jbsolicitors.com.au/wp-content/uploads/2023/02/jaywalking-featured.jpg" TargetMode="External"/><Relationship Id="rId859" Type="http://schemas.openxmlformats.org/officeDocument/2006/relationships/hyperlink" Target="https://c8.alamy.com/comp/2AW2BCR/singapore-january-2020-a-road-sign-indicating-access-to-the-construction-site-2AW2BCR.jpg" TargetMode="External"/><Relationship Id="rId1391" Type="http://schemas.openxmlformats.org/officeDocument/2006/relationships/hyperlink" Target="https://media.istockphoto.com/id/510399253/photo/busy-highway.jpg?s=612x612&amp;w=0&amp;k=20&amp;c=ex27rahrcjx2ZDB5qJgSKgTPqEzx6IBTeRhg75aGrz4=" TargetMode="External"/><Relationship Id="rId1489" Type="http://schemas.openxmlformats.org/officeDocument/2006/relationships/hyperlink" Target="https://images.unsplash.com/photo-1707179174362-2c951c1ea8d0?w=500&amp;auto=format&amp;fit=crop&amp;q=60&amp;ixlib=rb-4.1.0&amp;ixid=M3wxMjA3fDB8MHxzZWFyY2h8MjZ8fGNhciUyMGF0JTIwcmVkJTIwbGlnaHR8ZW58MHx8MHx8fDA%3D" TargetMode="External"/><Relationship Id="rId1696" Type="http://schemas.openxmlformats.org/officeDocument/2006/relationships/hyperlink" Target="https://media.istockphoto.com/id/139085335/photo/police-cars-block-traffic.jpg?s=612x612&amp;w=0&amp;k=20&amp;c=OkdUjIcQHvlfvZcGlTkWNkfX4VQLK6W10-mkxsmuTgM=" TargetMode="External"/><Relationship Id="rId2235" Type="http://schemas.openxmlformats.org/officeDocument/2006/relationships/hyperlink" Target="https://st5.depositphotos.com/1178490/67323/i/450/depositphotos_673238216-stock-photo-trunk-cargo-box-roof-car.jpg" TargetMode="External"/><Relationship Id="rId207" Type="http://schemas.openxmlformats.org/officeDocument/2006/relationships/hyperlink" Target="https://st2.depositphotos.com/14799452/47325/i/380/depositphotos_473251100-stock-photo-happy-woman-eating-food-drinking.jpg" TargetMode="External"/><Relationship Id="rId414" Type="http://schemas.openxmlformats.org/officeDocument/2006/relationships/hyperlink" Target="https://media.istockphoto.com/id/478525372/photo/woman-crossing-the-street-at-pedestrian-crossing.jpg?s=612x612&amp;w=0&amp;k=20&amp;c=eLWbO3l_mLfgUYDadVagNAKpeuJ_DuRFby3V8H3gqLQ=" TargetMode="External"/><Relationship Id="rId621" Type="http://schemas.openxmlformats.org/officeDocument/2006/relationships/hyperlink" Target="https://lede-admin.usa.streetsblog.org/wp-content/uploads/sites/46/2021/05/Pedestrian-Arterial.jpg" TargetMode="External"/><Relationship Id="rId1044" Type="http://schemas.openxmlformats.org/officeDocument/2006/relationships/hyperlink" Target="https://media.istockphoto.com/id/1411145066/photo/busy-traffic-intersection-and-light-rail-bridge-shot-from-above.jpg?s=612x612&amp;w=0&amp;k=20&amp;c=l8JfgIEYie0Vhqikcck8genLfMOYBAWHw0tiAGfE_lQ=" TargetMode="External"/><Relationship Id="rId1251" Type="http://schemas.openxmlformats.org/officeDocument/2006/relationships/hyperlink" Target="https://media.istockphoto.com/id/171276431/photo/storm-damaged-traffic-light.jpg?s=612x612&amp;w=0&amp;k=20&amp;c=X1vrx9gCvbZnLQ4UPcBSW7V0TU8s0pIfMzH9kbM7H6I=" TargetMode="External"/><Relationship Id="rId1349" Type="http://schemas.openxmlformats.org/officeDocument/2006/relationships/hyperlink" Target="https://media.istockphoto.com/id/1324873600/photo/flooded-neighborhood-streets-in-fort-lauderdale-florida-usa.jpg?s=612x612&amp;w=0&amp;k=20&amp;c=LjGklTA9h5K0fuRPu1cudjRfzdEjc_1cabB-11YsutI=" TargetMode="External"/><Relationship Id="rId2302" Type="http://schemas.openxmlformats.org/officeDocument/2006/relationships/hyperlink" Target="https://media.istockphoto.com/id/545245882/photo/truck-with-hay-on-a-road.jpg?s=612x612&amp;w=0&amp;k=20&amp;c=cngGF2v1nloJsXKgO3QhDglEjd3TajzmBhyLQLuog-A=" TargetMode="External"/><Relationship Id="rId719" Type="http://schemas.openxmlformats.org/officeDocument/2006/relationships/hyperlink" Target="https://media.istockphoto.com/id/1194518540/photo/children-jaywalking.jpg?s=612x612&amp;w=0&amp;k=20&amp;c=S5ELtbN0eplB3RuLP8x0r-WkmKJhvVZoi51gSFOvhw4=" TargetMode="External"/><Relationship Id="rId926" Type="http://schemas.openxmlformats.org/officeDocument/2006/relationships/hyperlink" Target="https://media.istockphoto.com/id/537615269/photo/double-yellow-lines-on-asphalt-road.jpg?s=612x612&amp;w=0&amp;k=20&amp;c=wsLidRjQilmn_QV-VwrJHGXAKqf1K0MdYTdE3dxxr74=" TargetMode="External"/><Relationship Id="rId1111" Type="http://schemas.openxmlformats.org/officeDocument/2006/relationships/hyperlink" Target="https://mesquitelocalnews.com/wp-content/uploads/2024/06/manholecoversdirect-314981-trafficpotholerubble-image1.jpg" TargetMode="External"/><Relationship Id="rId1556" Type="http://schemas.openxmlformats.org/officeDocument/2006/relationships/hyperlink" Target="https://media.istockphoto.com/id/510399253/photo/busy-highway.jpg?s=612x612&amp;w=0&amp;k=20&amp;c=ex27rahrcjx2ZDB5qJgSKgTPqEzx6IBTeRhg75aGrz4=" TargetMode="External"/><Relationship Id="rId1763" Type="http://schemas.openxmlformats.org/officeDocument/2006/relationships/hyperlink" Target="https://content.api.news/v3/images/bin/f00be14e21f7d2e52bc4078c0d8bef4b" TargetMode="External"/><Relationship Id="rId1970" Type="http://schemas.openxmlformats.org/officeDocument/2006/relationships/hyperlink" Target="https://media.istockphoto.com/id/1157121188/photo/white-repair-and-service-van-with-ladder-and-orange-light-bar-on-roof-at-city-street.jpg?s=612x612&amp;w=0&amp;k=20&amp;c=9tUocpHtWJSZ1OFpF_yrh1oVkhHqh_U93M1pzLPF_pI=" TargetMode="External"/><Relationship Id="rId55" Type="http://schemas.openxmlformats.org/officeDocument/2006/relationships/hyperlink" Target="https://st4.depositphotos.com/4218696/27231/i/380/depositphotos_272314514-stock-photo-african-american-couple-using-navigator.jpg" TargetMode="External"/><Relationship Id="rId1209" Type="http://schemas.openxmlformats.org/officeDocument/2006/relationships/hyperlink" Target="https://media.istockphoto.com/id/941160696/photo/potholes-on-a-paved-road.jpg?s=612x612&amp;w=0&amp;k=20&amp;c=r3cMwK6Yfj1pCE_itggsAq7V8jsFYjFmS3912Cyry_Y=" TargetMode="External"/><Relationship Id="rId1416" Type="http://schemas.openxmlformats.org/officeDocument/2006/relationships/hyperlink" Target="https://media.istockphoto.com/id/522564791/photo/winter-sun-on-sunday-motorway-traffic-essex-england.jpg?s=1024x1024&amp;w=is&amp;k=20&amp;c=LX2usWbX5L7lIkT_62x8090Umn61U4iD-DEIScFRP88=" TargetMode="External"/><Relationship Id="rId1623" Type="http://schemas.openxmlformats.org/officeDocument/2006/relationships/hyperlink" Target="https://thumbs.dreamstime.com/b/illegal-parking-pedestrian-crossing-violation-rules-rights-pedestrians-54732203.jpg" TargetMode="External"/><Relationship Id="rId1830" Type="http://schemas.openxmlformats.org/officeDocument/2006/relationships/hyperlink" Target="https://encrypted-tbn0.gstatic.com/images?q=tbn:ANd9GcS_10gIXc51bXb5xQEhp7rGDMhdeby_y2r0SweM6FN7cqETJ4pF9ZTY_eDlSwrEKbY7TAg&amp;usqp=CAU" TargetMode="External"/><Relationship Id="rId1928" Type="http://schemas.openxmlformats.org/officeDocument/2006/relationships/hyperlink" Target="https://media.istockphoto.com/id/1252790465/photo/truck-with-refrigerated-semi-trailer.jpg?s=612x612&amp;w=0&amp;k=20&amp;c=waeG6Akro2uPxdGve8ghlrTqBlca0r6UVxrNMtcAB3M=" TargetMode="External"/><Relationship Id="rId2092" Type="http://schemas.openxmlformats.org/officeDocument/2006/relationships/hyperlink" Target="https://c8.alamy.com/comp/RFPA79/load-vehicles-can-sometimes-create-traffic-hazards-RFPA79.jpg" TargetMode="External"/><Relationship Id="rId271" Type="http://schemas.openxmlformats.org/officeDocument/2006/relationships/hyperlink" Target="https://st2.depositphotos.com/3947277/5734/i/380/depositphotos_57340311-stock-photo-african-woman-stuck-in-traffic.jpg" TargetMode="External"/><Relationship Id="rId131" Type="http://schemas.openxmlformats.org/officeDocument/2006/relationships/hyperlink" Target="https://encrypted-tbn0.gstatic.com/images?q=tbn:ANd9GcTUS4Iz29HjVQQXCjQRjZz9xUR0wyC8o-Me6Q&amp;s" TargetMode="External"/><Relationship Id="rId369" Type="http://schemas.openxmlformats.org/officeDocument/2006/relationships/hyperlink" Target="https://www.shutterstock.com/shutterstock/photos/285654479/display_1500/stock-photo-woman-crossing-the-street-at-a-pedestrian-crossing-285654479.jpg" TargetMode="External"/><Relationship Id="rId576" Type="http://schemas.openxmlformats.org/officeDocument/2006/relationships/hyperlink" Target="https://media.istockphoto.com/id/535338031/photo/using-mobile-telephone-while-crossing-a-road.jpg?s=612x612&amp;w=0&amp;k=20&amp;c=Uo40cc_OtWsUwK8FveCQljGKcTzLq8V5zPAJipLbc2M=" TargetMode="External"/><Relationship Id="rId783" Type="http://schemas.openxmlformats.org/officeDocument/2006/relationships/hyperlink" Target="https://st4.depositphotos.com/21607914/23781/i/380/depositphotos_237813492-stock-photo-chinese-jaywalkers-walk-road-nanjing.jpg" TargetMode="External"/><Relationship Id="rId990" Type="http://schemas.openxmlformats.org/officeDocument/2006/relationships/hyperlink" Target="https://st.depositphotos.com/1066342/2004/i/450/depositphotos_20048743-stock-photo-melbourne-by-the-fast-track.jpg" TargetMode="External"/><Relationship Id="rId2257" Type="http://schemas.openxmlformats.org/officeDocument/2006/relationships/hyperlink" Target="https://st3.depositphotos.com/29384342/33526/i/450/depositphotos_335266756-stock-photo-car-desert.jpg" TargetMode="External"/><Relationship Id="rId229" Type="http://schemas.openxmlformats.org/officeDocument/2006/relationships/hyperlink" Target="https://st5.depositphotos.com/1192060/65935/i/380/depositphotos_659354892-stock-photo-woman-putting-lipstick-while-steering.jpg" TargetMode="External"/><Relationship Id="rId436" Type="http://schemas.openxmlformats.org/officeDocument/2006/relationships/hyperlink" Target="https://media.istockphoto.com/id/1288149637/photo/young-happy-intercultural-friends-having-drinks-and-talking-while-crossing-road.jpg?s=612x612&amp;w=0&amp;k=20&amp;c=4eYg7B05aIBl2nF6hPlUJEniQuOMQZKj4ZWt93FZoIo=" TargetMode="External"/><Relationship Id="rId643" Type="http://schemas.openxmlformats.org/officeDocument/2006/relationships/hyperlink" Target="https://media.istockphoto.com/id/1186042762/photo/kid-crossing-the-street-at-a-pedestrian-crossing-and-listening-to-music-on-his-cellphone.jpg?s=612x612&amp;w=0&amp;k=20&amp;c=jxuKkuDgIUc7Fwb4NJX1vE2dQciu7OPEouWXG3FKvPY=" TargetMode="External"/><Relationship Id="rId1066" Type="http://schemas.openxmlformats.org/officeDocument/2006/relationships/hyperlink" Target="https://media.istockphoto.com/id/182678225/photo/tree-fallen-from-wind-storm.jpg?s=612x612&amp;w=0&amp;k=20&amp;c=u7DGkbKVue0MnMqNrJM47OQeHmicXM7T_sf1PXNb0gE=" TargetMode="External"/><Relationship Id="rId1273" Type="http://schemas.openxmlformats.org/officeDocument/2006/relationships/hyperlink" Target="https://static6.depositphotos.com/1003512/579/i/380/depositphotos_5792291-stock-photo-calves-on-the-road.jpg" TargetMode="External"/><Relationship Id="rId1480" Type="http://schemas.openxmlformats.org/officeDocument/2006/relationships/hyperlink" Target="https://images.unsplash.com/photo-1598735961233-dbb3b204ba78?w=500&amp;auto=format&amp;fit=crop&amp;q=60&amp;ixlib=rb-4.1.0&amp;ixid=M3wxMjA3fDB8MHxzZWFyY2h8MTh8fGNhciUyMGF0JTIwcmVkJTIwbGlnaHR8ZW58MHx8MHx8fDA%3D" TargetMode="External"/><Relationship Id="rId2117" Type="http://schemas.openxmlformats.org/officeDocument/2006/relationships/hyperlink" Target="https://st3.depositphotos.com/1184024/17751/i/450/depositphotos_177512610-stock-photo-caravan-with-bicycles-and-cars.jpg" TargetMode="External"/><Relationship Id="rId2324" Type="http://schemas.openxmlformats.org/officeDocument/2006/relationships/hyperlink" Target="https://images.freeimages.com/images/large-previews/ccd/overload-1253409.jpg?fmt=webp&amp;w=500" TargetMode="External"/><Relationship Id="rId850" Type="http://schemas.openxmlformats.org/officeDocument/2006/relationships/hyperlink" Target="https://st5.depositphotos.com/56294224/66484/i/450/depositphotos_664843884-stock-photo-melbourne-victoria-australia-2019-aami.jpg" TargetMode="External"/><Relationship Id="rId948" Type="http://schemas.openxmlformats.org/officeDocument/2006/relationships/hyperlink" Target="https://media.istockphoto.com/id/1226412091/photo/circular-quay-ferry-terminal-emptied.jpg?s=612x612&amp;w=0&amp;k=20&amp;c=megYWF8JZ1wUV0Yu9WuT1TA9CwBuKkYL8cmJV8A6heg=" TargetMode="External"/><Relationship Id="rId1133" Type="http://schemas.openxmlformats.org/officeDocument/2006/relationships/hyperlink" Target="https://content.api.news/v3/images/bin/3b54220bb188309e82871d0c9311c2de" TargetMode="External"/><Relationship Id="rId1578" Type="http://schemas.openxmlformats.org/officeDocument/2006/relationships/hyperlink" Target="https://media.istockphoto.com/id/2144172069/photo/traffic-and-traffic-signs-on-freeway.jpg?s=612x612&amp;w=0&amp;k=20&amp;c=EaL-uNILc37VMPAc67tzbzv2cJYH48_ZJlvVmO5tIlo=" TargetMode="External"/><Relationship Id="rId1785" Type="http://schemas.openxmlformats.org/officeDocument/2006/relationships/hyperlink" Target="https://encrypted-tbn0.gstatic.com/images?q=tbn:ANd9GcQblo3PT9wfa9c0pHNglOvp5CZ0-D-xq98YJWlhJ1XPebZgIv9KnT0rNQ2GoJTI6LUc16w&amp;usqp=CAU" TargetMode="External"/><Relationship Id="rId1992" Type="http://schemas.openxmlformats.org/officeDocument/2006/relationships/hyperlink" Target="https://media.istockphoto.com/id/2171315695/photo/car-for-traveling-with-a-mountain-road.jpg?s=612x612&amp;w=0&amp;k=20&amp;c=4Sas1Ppp5J6KYGiJPRvlDonYGuTOVPmia0j4wmhkWN8=" TargetMode="External"/><Relationship Id="rId77" Type="http://schemas.openxmlformats.org/officeDocument/2006/relationships/hyperlink" Target="https://media.istockphoto.com/id/586357672/photo/texting-and-driving-wreck-hitting-pedestrian.jpg?s=612x612&amp;w=0&amp;k=20&amp;c=4E5fpk5OP0W1V5h6Aak7iBk2wXj6_OojcoNRcQj2xzs=" TargetMode="External"/><Relationship Id="rId503" Type="http://schemas.openxmlformats.org/officeDocument/2006/relationships/hyperlink" Target="https://media.istockphoto.com/id/1482838658/photo/father-and-children-crossing-road-on-pedestrian-crosswalk.jpg?s=612x612&amp;w=0&amp;k=20&amp;c=DgHIEw_HLqnrq6hl_dSdhHLIHhuZzHHEthwcDo7yMyc=" TargetMode="External"/><Relationship Id="rId710" Type="http://schemas.openxmlformats.org/officeDocument/2006/relationships/hyperlink" Target="https://media.istockphoto.com/id/1181901428/photo/motivated-for-fitness.webp?b=1&amp;s=612x612&amp;w=0&amp;k=20&amp;c=QMrEKAdmVOs3ncJIkRnqQrg92br3Xq2uFutgToGkR80=" TargetMode="External"/><Relationship Id="rId808" Type="http://schemas.openxmlformats.org/officeDocument/2006/relationships/hyperlink" Target="https://encrypted-tbn0.gstatic.com/images?q=tbn:ANd9GcTyE00T0Eh_DC3friBH57sxVnatahu4GmU5_g&amp;s" TargetMode="External"/><Relationship Id="rId1340" Type="http://schemas.openxmlformats.org/officeDocument/2006/relationships/hyperlink" Target="https://media.istockphoto.com/id/157646190/photo/flooded-road-hail-storm.jpg?s=612x612&amp;w=0&amp;k=20&amp;c=ZVH6F-pmSIOu_3kKegdfURPYO_5j_j0-c5hydn68tDI=" TargetMode="External"/><Relationship Id="rId1438" Type="http://schemas.openxmlformats.org/officeDocument/2006/relationships/hyperlink" Target="https://media.istockphoto.com/id/1474796515/photo/putting-on-safety-seatbelt.jpg?s=612x612&amp;w=0&amp;k=20&amp;c=7El5OS_c-zabjcuWndVGMuMnThVPsw_LJ1Sy-1qUCsI=" TargetMode="External"/><Relationship Id="rId1645" Type="http://schemas.openxmlformats.org/officeDocument/2006/relationships/hyperlink" Target="https://learndrivesurvive.com.au/wp-content/uploads/2017/09/hazards-perception-skills.jpg" TargetMode="External"/><Relationship Id="rId1200" Type="http://schemas.openxmlformats.org/officeDocument/2006/relationships/hyperlink" Target="https://media.istockphoto.com/id/898963320/photo/waterfilled-pothole-on-asphalted-road.jpg?s=612x612&amp;w=0&amp;k=20&amp;c=Kk9Nee9qN8Gu6dcjaI8tlGl8580GncHSq1D8cHxtSRc=" TargetMode="External"/><Relationship Id="rId1852" Type="http://schemas.openxmlformats.org/officeDocument/2006/relationships/hyperlink" Target="https://media.istockphoto.com/id/1465157700/photo/brightly-red-colored-semi-truck-speeding-on-a-two-lane-highway-with-cars-in-background-under.jpg?s=612x612&amp;w=0&amp;k=20&amp;c=cfbbPy2ylvFGRULNLGO_Ucm-C5DsOJMFHiZBdKGsq3c=" TargetMode="External"/><Relationship Id="rId1505" Type="http://schemas.openxmlformats.org/officeDocument/2006/relationships/hyperlink" Target="https://media.istockphoto.com/id/857615658/photo/city-traffic-detroit-michigan.jpg?s=612x612&amp;w=0&amp;k=20&amp;c=SQQzgvaB_encu2adj2Uge5pMAGKlA8A1th1KaUTPJNw=" TargetMode="External"/><Relationship Id="rId1712" Type="http://schemas.openxmlformats.org/officeDocument/2006/relationships/hyperlink" Target="https://media.istockphoto.com/id/2161543642/photo/running-yellow-lights.webp?s=1024x1024&amp;w=is&amp;k=20&amp;c=FoZ9Ge1jeI5APSlvM03RZFFWZZPYo1QnGUhKEvlIzbo=" TargetMode="External"/><Relationship Id="rId293" Type="http://schemas.openxmlformats.org/officeDocument/2006/relationships/hyperlink" Target="https://azstaaldotnewseus2.blob.core.windows.net/blobaldotnewsef8d948ead1/wp-content/uploads/2024/10/pedestrian-safety-image-scaled.jpg" TargetMode="External"/><Relationship Id="rId2181" Type="http://schemas.openxmlformats.org/officeDocument/2006/relationships/hyperlink" Target="https://terrysamui.wordpress.com/wp-content/uploads/2017/01/overloaded-driving-cars-motorcycles-vans-trucks-pick-ups-samui-thailand-funny-strange-unusual-18.jpg" TargetMode="External"/><Relationship Id="rId153" Type="http://schemas.openxmlformats.org/officeDocument/2006/relationships/hyperlink" Target="https://images.pexels.com/photos/8387455/pexels-photo-8387455.jpeg" TargetMode="External"/><Relationship Id="rId360" Type="http://schemas.openxmlformats.org/officeDocument/2006/relationships/hyperlink" Target="https://c8.alamy.com/comp/HNYN5C/frankfurt-germany-march-20-2009-children-crossing-street-with-guiding-HNYN5C.jpg" TargetMode="External"/><Relationship Id="rId598" Type="http://schemas.openxmlformats.org/officeDocument/2006/relationships/hyperlink" Target="https://images.pexels.com/photos/20030515/pexels-photo-20030515.jpeg" TargetMode="External"/><Relationship Id="rId2041" Type="http://schemas.openxmlformats.org/officeDocument/2006/relationships/hyperlink" Target="https://media.istockphoto.com/id/1423325870/photo/tow-truck-transportation.jpg?s=612x612&amp;w=0&amp;k=20&amp;c=EeLFErlEi3n7k9Yfn_Gcuja6cJwf41ISci3q8f6HVuw=" TargetMode="External"/><Relationship Id="rId2279" Type="http://schemas.openxmlformats.org/officeDocument/2006/relationships/hyperlink" Target="https://images.unsplash.com/photo-1625565141751-8742de0ee1ff?w=400&amp;auto=format&amp;fit=crop&amp;q=60&amp;ixlib=rb-4.1.0&amp;ixid=M3wxMjA3fDB8MHxwaG90by1yZWxhdGVkfDE0fHx8ZW58MHx8fHx8" TargetMode="External"/><Relationship Id="rId220" Type="http://schemas.openxmlformats.org/officeDocument/2006/relationships/hyperlink" Target="https://st3.depositphotos.com/1003697/12762/i/380/depositphotos_127620912-stock-photo-woman-making-makeup-while-driving.jpg" TargetMode="External"/><Relationship Id="rId458" Type="http://schemas.openxmlformats.org/officeDocument/2006/relationships/hyperlink" Target="https://images.unsplash.com/photo-1644534226441-9078b613c3ec?w=500&amp;auto=format&amp;fit=crop&amp;q=60&amp;ixlib=rb-4.1.0&amp;ixid=M3wxMjA3fDB8MHxzZWFyY2h8MTl8fHBlZGVzdHJpYW4lMjB3YWxraW5nJTIwc2FmZXxlbnwwfHwwfHx8MA%3D%3D" TargetMode="External"/><Relationship Id="rId665" Type="http://schemas.openxmlformats.org/officeDocument/2006/relationships/hyperlink" Target="https://images.unsplash.com/photo-1642761503017-c1744e5da6ac?w=500&amp;auto=format&amp;fit=crop&amp;q=60&amp;ixlib=rb-4.1.0&amp;ixid=M3wxMjA3fDB8MHxzZWFyY2h8ODd8fHBlZGVzdHJpYW4lMjB3YWxraW5nJTIwZ3JlZW4lMjBsaWdodHxlbnwwfHwwfHx8MA%3D%3D" TargetMode="External"/><Relationship Id="rId872" Type="http://schemas.openxmlformats.org/officeDocument/2006/relationships/hyperlink" Target="https://images.unsplash.com/photo-1589828155685-83225f7d91f3?fm=jpg&amp;q=60&amp;w=3000&amp;ixlib=rb-4.1.0&amp;ixid=M3wxMjA3fDB8MHxzZWFyY2h8Mnx8cm9hZCUyMHdpdGglMjBjYXJzfGVufDB8fDB8fHww" TargetMode="External"/><Relationship Id="rId1088" Type="http://schemas.openxmlformats.org/officeDocument/2006/relationships/hyperlink" Target="https://media.istockphoto.com/id/173845298/photo/crash.jpg?s=612x612&amp;w=0&amp;k=20&amp;c=uLdLReLUkAFEOkCy7p8n5nq0OOjAwqdP8g3vpltp8EQ=" TargetMode="External"/><Relationship Id="rId1295" Type="http://schemas.openxmlformats.org/officeDocument/2006/relationships/hyperlink" Target="https://st3.depositphotos.com/9773578/16580/i/380/depositphotos_165803016-stock-photo-dead-wallaby-roadkill-in-australia.jpg" TargetMode="External"/><Relationship Id="rId2139" Type="http://schemas.openxmlformats.org/officeDocument/2006/relationships/hyperlink" Target="https://encrypted-tbn0.gstatic.com/images?q=tbn:ANd9GcTmzpW5ILbyjOtf2kmp0w0nAQyr1PO9IRJNSyfD1_FrJ4n_21Igw8gET2j3-bvIsGZr1Vg&amp;usqp=CAU" TargetMode="External"/><Relationship Id="rId2346" Type="http://schemas.openxmlformats.org/officeDocument/2006/relationships/hyperlink" Target="https://worksafetci.com/wp-content/uploads/shutterstock_2177448265.jpg" TargetMode="External"/><Relationship Id="rId318" Type="http://schemas.openxmlformats.org/officeDocument/2006/relationships/hyperlink" Target="https://images.unsplash.com/photo-1624816804260-65ea43f9615e?w=500&amp;auto=format&amp;fit=crop&amp;q=60&amp;ixlib=rb-4.1.0&amp;ixid=M3wxMjA3fDB8MHxzZWFyY2h8N3x8cGVkZXN0cmlhbiUyMHdhbGtpbmd8ZW58MHx8MHx8fDA%3D" TargetMode="External"/><Relationship Id="rId525" Type="http://schemas.openxmlformats.org/officeDocument/2006/relationships/hyperlink" Target="https://media.istockphoto.com/id/1413416031/photo/teenage-schoolchildren-a-boy-and-a-girl-cross-the-road-at-a-pedestrian-crossing.jpg?s=612x612&amp;w=0&amp;k=20&amp;c=ebA0Ov20ZXTXYc5BbYuW9RGwJaDnmWEdnNF2lQbFlWc=" TargetMode="External"/><Relationship Id="rId732" Type="http://schemas.openxmlformats.org/officeDocument/2006/relationships/hyperlink" Target="https://media.istockphoto.com/id/1086855128/photo/shopping-street-melbourne-australia.jpg?s=612x612&amp;w=0&amp;k=20&amp;c=OmP0emjl1yAc9cJzIqLosa8CC6BsZTJgiXHh6rHg7Yo=" TargetMode="External"/><Relationship Id="rId1155" Type="http://schemas.openxmlformats.org/officeDocument/2006/relationships/hyperlink" Target="https://media.istockphoto.com/id/969500140/photo/car-accident.jpg?s=612x612&amp;w=0&amp;k=20&amp;c=5cWFdm3PKaNVLwPQfrGcqvDqgl5SLc8AA38BP_XVPAI=" TargetMode="External"/><Relationship Id="rId1362" Type="http://schemas.openxmlformats.org/officeDocument/2006/relationships/hyperlink" Target="https://media.istockphoto.com/id/877227118/photo/young-girl-is-fastening-her-seat-belt-in-a-rainy-day.jpg?s=612x612&amp;w=0&amp;k=20&amp;c=hjB3M6HRJpa_Hv9L9t5zHu1N4NChm1mdrXBWUJbEpi4=" TargetMode="External"/><Relationship Id="rId2206" Type="http://schemas.openxmlformats.org/officeDocument/2006/relationships/hyperlink" Target="https://media.istockphoto.com/id/1300549747/photo/mattress-on-car-roof-dacia-logan-carrying-mattresses-on-roof-in-bucharest-romania-2021.jpg?s=612x612&amp;w=0&amp;k=20&amp;c=vfIVDFnyWn_DNQ9DLOExrokzRfWlQyVAKmxblWQHOg0=" TargetMode="External"/><Relationship Id="rId99" Type="http://schemas.openxmlformats.org/officeDocument/2006/relationships/hyperlink" Target="https://cdn.prod.website-files.com/608c6d5b8637279ee57c44d9/626263396fca14f25eb9a229_Distracted%20Driving%20feature-min.png" TargetMode="External"/><Relationship Id="rId1015" Type="http://schemas.openxmlformats.org/officeDocument/2006/relationships/hyperlink" Target="https://st5.depositphotos.com/56294224/66484/i/450/depositphotos_664843884-stock-photo-melbourne-victoria-australia-2019-aami.jpg" TargetMode="External"/><Relationship Id="rId1222" Type="http://schemas.openxmlformats.org/officeDocument/2006/relationships/hyperlink" Target="https://media.istockphoto.com/id/1688511727/photo/pothole-on-asphalt-road-filled-with-water.jpg?s=612x612&amp;w=0&amp;k=20&amp;c=HA4osRHz_nzftv_rA2amuJG90o5G1fQ66W4BxbS1IVE=" TargetMode="External"/><Relationship Id="rId1667" Type="http://schemas.openxmlformats.org/officeDocument/2006/relationships/hyperlink" Target="https://images.tribuneindia.com/cms/gall_content/2015/9/2015_9$largeimg15_Tuesday_2015_230629386.jpg" TargetMode="External"/><Relationship Id="rId1874" Type="http://schemas.openxmlformats.org/officeDocument/2006/relationships/hyperlink" Target="https://media.istockphoto.com/id/157286698/photo/tow-truck-hauling-a-new-red-car.jpg?s=612x612&amp;w=0&amp;k=20&amp;c=RY6v23MkyjhBjLw7HNhnvUWQqNqmGX4SbR5Y1P1ScE8=" TargetMode="External"/><Relationship Id="rId1527" Type="http://schemas.openxmlformats.org/officeDocument/2006/relationships/hyperlink" Target="https://www.smartdrivetest.com/wp-content/uploads/2016/10/left_turning.png" TargetMode="External"/><Relationship Id="rId1734" Type="http://schemas.openxmlformats.org/officeDocument/2006/relationships/hyperlink" Target="https://www.heraldnet.com/wp-content/uploads/2019/01/14686101_web1_M-Stop-Sign-EDH-190122.jpg" TargetMode="External"/><Relationship Id="rId1941" Type="http://schemas.openxmlformats.org/officeDocument/2006/relationships/hyperlink" Target="https://media.istockphoto.com/id/1279199341/photo/icefields-parkway-adventure-canadian-rockies-alberta-canada.jpg?s=612x612&amp;w=0&amp;k=20&amp;c=W9RjbAXCzJtWRo_I4BXDfybgoxS344jpfmNf4bjoZdE=" TargetMode="External"/><Relationship Id="rId26" Type="http://schemas.openxmlformats.org/officeDocument/2006/relationships/hyperlink" Target="https://images.pexels.com/photos/4084276/pexels-photo-4084276.jpeg" TargetMode="External"/><Relationship Id="rId175" Type="http://schemas.openxmlformats.org/officeDocument/2006/relationships/hyperlink" Target="https://st3.depositphotos.com/1761743/16656/i/380/depositphotos_166565754-stock-photo-man-eating-an-hamburger-while.jpg" TargetMode="External"/><Relationship Id="rId1801" Type="http://schemas.openxmlformats.org/officeDocument/2006/relationships/hyperlink" Target="https://images.thewest.com.au/publication/B88718076Z/1516244737073_GMH1DTA9G.1-0.jpg?imwidth=810&amp;impolicy=wan_v3" TargetMode="External"/><Relationship Id="rId382" Type="http://schemas.openxmlformats.org/officeDocument/2006/relationships/hyperlink" Target="https://c8.alamy.com/comp/2B7MNR0/berlin-germany-januari-1-2020-people-stand-on-a-pedestrian-crossing-the-green-light-on-the-traffic-light-2B7MNR0.jpg" TargetMode="External"/><Relationship Id="rId687" Type="http://schemas.openxmlformats.org/officeDocument/2006/relationships/hyperlink" Target="https://media.istockphoto.com/id/1208387257/photo/pedestrian-checking-her-phone.jpg?s=612x612&amp;w=0&amp;k=20&amp;c=258Ds2jTEaGyAq1EUVxlbQeXt-q-gaZ2rUPiV1QMPTc=" TargetMode="External"/><Relationship Id="rId2063" Type="http://schemas.openxmlformats.org/officeDocument/2006/relationships/hyperlink" Target="https://cdn.pixabay.com/photo/2017/09/17/14/17/truck-2758534_640.jpg" TargetMode="External"/><Relationship Id="rId2270" Type="http://schemas.openxmlformats.org/officeDocument/2006/relationships/hyperlink" Target="https://st3.depositphotos.com/2047341/14695/i/450/depositphotos_146959423-stock-photo-the-mercato-market-of-addis.jpg" TargetMode="External"/><Relationship Id="rId242" Type="http://schemas.openxmlformats.org/officeDocument/2006/relationships/hyperlink" Target="https://st5.depositphotos.com/82627138/78110/i/380/depositphotos_781109856-stock-photo-businesswoman-putting-makeup-while-sitting.jpg" TargetMode="External"/><Relationship Id="rId894" Type="http://schemas.openxmlformats.org/officeDocument/2006/relationships/hyperlink" Target="https://st4.depositphotos.com/28951978/31584/i/450/depositphotos_315843620-stock-photo-road-highway-signs.jpg" TargetMode="External"/><Relationship Id="rId1177" Type="http://schemas.openxmlformats.org/officeDocument/2006/relationships/hyperlink" Target="https://media.istockphoto.com/id/1153263086/photo/tree-that-fell-after-a-storm-in-the-urban-area-old-tree-trunk-fallen-in-the-city.jpg?s=612x612&amp;w=0&amp;k=20&amp;c=Zy1KLvINV7yWoT-Wek9fgd5lUwxo6nV3RN6_ZwbxadI=" TargetMode="External"/><Relationship Id="rId2130" Type="http://schemas.openxmlformats.org/officeDocument/2006/relationships/hyperlink" Target="https://images.unsplash.com/photo-1653508310311-127794be33b6?w=400&amp;auto=format&amp;fit=crop&amp;q=60&amp;ixlib=rb-4.1.0&amp;ixid=M3wxMjA3fDB8MHxzZWFyY2h8MTJ8fHRyYWlsZXIlMjBsb2FkJTIwb2YlMjB0cmFzaHxlbnwwfHwwfHx8MA%3D%3D" TargetMode="External"/><Relationship Id="rId102" Type="http://schemas.openxmlformats.org/officeDocument/2006/relationships/hyperlink" Target="https://cdn.prod.website-files.com/608c6d5b8637279ee57c44d9/626263396fca14f25eb9a229_Distracted%20Driving%20feature-min.png" TargetMode="External"/><Relationship Id="rId547" Type="http://schemas.openxmlformats.org/officeDocument/2006/relationships/hyperlink" Target="https://media.istockphoto.com/id/949120374/photo/young-women-in-budapest-crossing-the-street-at-the-pedestrian-walkway.jpg?s=612x612&amp;w=0&amp;k=20&amp;c=Eqv_zuhb2eaTgperi0vhOJzYCKDTHijdO3gbLvzR70Q=" TargetMode="External"/><Relationship Id="rId754" Type="http://schemas.openxmlformats.org/officeDocument/2006/relationships/hyperlink" Target="https://encrypted-tbn0.gstatic.com/images?q=tbn:ANd9GcSvCQ2QfrPj0e0zIxf9oEcu_GXz_JtmnWdcZr95X7Rv4hr5ELi3JOYrZBkFmW76gPRyZdw&amp;usqp=CAU" TargetMode="External"/><Relationship Id="rId961" Type="http://schemas.openxmlformats.org/officeDocument/2006/relationships/hyperlink" Target="https://media.istockphoto.com/id/1082720986/photo/expressway-and-modern-urban-architecture-in-qiantang-river-new-town-hangzhou-china.jpg?s=612x612&amp;w=0&amp;k=20&amp;c=NgXXcxKTldhCwkS0P7ocDtkZs1Yd2pp5GNbBu1JJmdo=" TargetMode="External"/><Relationship Id="rId1384" Type="http://schemas.openxmlformats.org/officeDocument/2006/relationships/hyperlink" Target="https://cyclingsavvy.org/wp-content/uploads/2022/12/multiple-yelds.jpg" TargetMode="External"/><Relationship Id="rId1591" Type="http://schemas.openxmlformats.org/officeDocument/2006/relationships/hyperlink" Target="https://media.istockphoto.com/id/477707350/photo/king-street-newtown.jpg?s=612x612&amp;w=0&amp;k=20&amp;c=C8ZyJCmlcmf7h6adgIiBrZWAuNUjOzPjqAO6yfagezc=" TargetMode="External"/><Relationship Id="rId1689" Type="http://schemas.openxmlformats.org/officeDocument/2006/relationships/hyperlink" Target="https://media.istockphoto.com/id/115918871/photo/traffic-on-the-highway.jpg?s=612x612&amp;w=0&amp;k=20&amp;c=ukygLoucRNtLLEay-YuDa6hJIoFh0xGyzo8dI-VeTO8=" TargetMode="External"/><Relationship Id="rId2228" Type="http://schemas.openxmlformats.org/officeDocument/2006/relationships/hyperlink" Target="https://st4.depositphotos.com/7149852/30947/i/450/depositphotos_309477912-stock-photo-modern-car-with-luggage-box.jpg" TargetMode="External"/><Relationship Id="rId90" Type="http://schemas.openxmlformats.org/officeDocument/2006/relationships/hyperlink" Target="https://www.sleepscore.com/wp-content/uploads/2016/10/blog-SleepyDriving-preview.jpg" TargetMode="External"/><Relationship Id="rId407" Type="http://schemas.openxmlformats.org/officeDocument/2006/relationships/hyperlink" Target="https://media.istockphoto.com/id/163654089/photo/car-stopped-for-pedestrian.jpg?s=612x612&amp;w=0&amp;k=20&amp;c=KR2rAvp9aU4KYFs8G6d4g3hvW-HyMy70Eyk6i66zb1w=" TargetMode="External"/><Relationship Id="rId614" Type="http://schemas.openxmlformats.org/officeDocument/2006/relationships/hyperlink" Target="https://www.delawareonline.com/gcdn/-mm-/85a62fc3530cf4ccf908caee8230a64765dd017b/c=879-723-3655-2292/local/-/media/2015/10/06/Wilmington/Wilmington/635797433497029497-100615-Pedestrians-SP102.JPG" TargetMode="External"/><Relationship Id="rId821" Type="http://schemas.openxmlformats.org/officeDocument/2006/relationships/hyperlink" Target="https://media.istockphoto.com/id/626590212/photo/straight-line-australian-highway-in-rural-outback.jpg?s=612x612&amp;w=0&amp;k=20&amp;c=jZQ21WENfqvsjyzzDaO4ajf98w8eVkQWCSgsa7fb_Ns=" TargetMode="External"/><Relationship Id="rId1037" Type="http://schemas.openxmlformats.org/officeDocument/2006/relationships/hyperlink" Target="https://media.istockphoto.com/id/1096519286/photo/inner-city-road.jpg?s=612x612&amp;w=0&amp;k=20&amp;c=JGrRLAuxUTNye8b7gYQFRPI7fpHp2L9f0YXUNKMANh0=" TargetMode="External"/><Relationship Id="rId1244" Type="http://schemas.openxmlformats.org/officeDocument/2006/relationships/hyperlink" Target="https://st.depositphotos.com/1449225/2506/i/380/depositphotos_25067809-stock-photo-cars-crashed.jpg" TargetMode="External"/><Relationship Id="rId1451" Type="http://schemas.openxmlformats.org/officeDocument/2006/relationships/hyperlink" Target="https://media.istockphoto.com/id/1030960660/photo/mother-turns-around-to-her-children-on-the-back-seat-of-car.jpg?s=612x612&amp;w=0&amp;k=20&amp;c=HSZB_HqQw2z6dnvlQmN_UA91pbwrepZufpYwOHM7Y1o=" TargetMode="External"/><Relationship Id="rId1896" Type="http://schemas.openxmlformats.org/officeDocument/2006/relationships/hyperlink" Target="https://www.arrowheavyvehicletraining.com.au/wp-content/uploads/2020/04/safe-load-program.jpg" TargetMode="External"/><Relationship Id="rId919" Type="http://schemas.openxmlformats.org/officeDocument/2006/relationships/hyperlink" Target="https://media.istockphoto.com/id/1216211417/photo/asphalt-road-background-3d-rendering.jpg?s=612x612&amp;w=0&amp;k=20&amp;c=DU9HkDoyMkh9AijS1HSbyC1Gj0bAKxKdc3n4ingABOY=" TargetMode="External"/><Relationship Id="rId1104" Type="http://schemas.openxmlformats.org/officeDocument/2006/relationships/hyperlink" Target="https://media.istockphoto.com/id/1167145186/photo/koala-sitting-in-the-middle-of-the-road.jpg?s=612x612&amp;w=0&amp;k=20&amp;c=2WL-Mv4DE2kGi2QTBvrCTdYuSgO44zkvl_40kt33PHs=" TargetMode="External"/><Relationship Id="rId1311" Type="http://schemas.openxmlformats.org/officeDocument/2006/relationships/hyperlink" Target="https://st4.depositphotos.com/2247853/41569/i/380/depositphotos_415691830-stock-photo-cape-barren-goose-road-phillip.jpg" TargetMode="External"/><Relationship Id="rId1549" Type="http://schemas.openxmlformats.org/officeDocument/2006/relationships/hyperlink" Target="https://images.unsplash.com/photo-1534773294507-d8090ebbcec6?w=400&amp;auto=format&amp;fit=crop&amp;q=60&amp;ixlib=rb-4.1.0&amp;ixid=M3wxMjA3fDB8MHxzZWFyY2h8Mnx8Y2FyJTIwaW4lMjBjaXR5JTIwYXVzdHJhbGlhfGVufDB8fDB8fHww" TargetMode="External"/><Relationship Id="rId1756" Type="http://schemas.openxmlformats.org/officeDocument/2006/relationships/hyperlink" Target="https://encrypted-tbn0.gstatic.com/images?q=tbn:ANd9GcQ63fE6spZHoPhZy-oYmT4ffXLGkbY50AGCGOe9TT6JD9x2gkWiCrj-mDiEm-0gW6xaivk&amp;usqp=CAU" TargetMode="External"/><Relationship Id="rId1963" Type="http://schemas.openxmlformats.org/officeDocument/2006/relationships/hyperlink" Target="https://media.istockphoto.com/id/1314167846/photo/rv-caravan-camping-at-the-caravan-park-camping-vacation-travel-concept.jpg?s=612x612&amp;w=0&amp;k=20&amp;c=W1nPWWFlcZXe9a4Q8gmOuwHokfudxJol7OkQQFOQYfs=" TargetMode="External"/><Relationship Id="rId48" Type="http://schemas.openxmlformats.org/officeDocument/2006/relationships/hyperlink" Target="https://st.depositphotos.com/1000647/4674/i/380/depositphotos_46742309-stock-photo-driving-a-car.jpg" TargetMode="External"/><Relationship Id="rId1409" Type="http://schemas.openxmlformats.org/officeDocument/2006/relationships/hyperlink" Target="https://media.istockphoto.com/id/1464681993/photo/man-riding-motorcycle-with-helmet.jpg?s=1024x1024&amp;w=is&amp;k=20&amp;c=Ju-dugWp0nlHvZZGBh2rdCT0djRFuQTJ6QzDIsY8eSs=" TargetMode="External"/><Relationship Id="rId1616" Type="http://schemas.openxmlformats.org/officeDocument/2006/relationships/hyperlink" Target="https://thatsmyspot.com.au/wp-content/uploads/2022/11/Illegal-parking-along-sidewalk-image.jpeg" TargetMode="External"/><Relationship Id="rId1823" Type="http://schemas.openxmlformats.org/officeDocument/2006/relationships/hyperlink" Target="https://encrypted-tbn0.gstatic.com/images?q=tbn:ANd9GcSF4qVHsdl06ffZGNJcnTFrlzmVtIX34DvEeyaWoZDoyJGwmnKD2HcQ0h3kqOL4tOqu3lc&amp;usqp=CAU" TargetMode="External"/><Relationship Id="rId197" Type="http://schemas.openxmlformats.org/officeDocument/2006/relationships/hyperlink" Target="https://st.depositphotos.com/1116685/3497/i/380/depositphotos_34979839-stock-photo-businesswoman-drinking-coffee-while-driving.jpg" TargetMode="External"/><Relationship Id="rId2085" Type="http://schemas.openxmlformats.org/officeDocument/2006/relationships/hyperlink" Target="https://images.unsplash.com/photo-1706130578908-ffdf5ef1ae18?w=400&amp;auto=format&amp;fit=crop&amp;q=60&amp;ixlib=rb-4.1.0&amp;ixid=M3wxMjA3fDB8MHxwaG90by1yZWxhdGVkfDEwfHx8ZW58MHx8fHx8" TargetMode="External"/><Relationship Id="rId2292" Type="http://schemas.openxmlformats.org/officeDocument/2006/relationships/hyperlink" Target="https://media.istockphoto.com/id/182170895/photo/transport-of-scrap-metal-and-iron.jpg?s=612x612&amp;w=0&amp;k=20&amp;c=2i2Lyvd04SQf9753IbuzD7XTgYVVVbbVx5bAJ_f7HPk=" TargetMode="External"/><Relationship Id="rId264" Type="http://schemas.openxmlformats.org/officeDocument/2006/relationships/hyperlink" Target="https://st2.depositphotos.com/1806242/5531/i/380/depositphotos_55319041-stock-photo-young-man-reading-and-drinking.jpg" TargetMode="External"/><Relationship Id="rId471" Type="http://schemas.openxmlformats.org/officeDocument/2006/relationships/hyperlink" Target="https://images.unsplash.com/photo-1668661825431-a5526806e086?w=500&amp;auto=format&amp;fit=crop&amp;q=60&amp;ixlib=rb-4.1.0&amp;ixid=M3wxMjA3fDB8MHxzZWFyY2h8OTV8fHBlZGVzdHJpYW4lMjB3YWxraW5nJTIwZ3JlZW4lMjBsaWdodHxlbnwwfHwwfHx8MA%3D%3D" TargetMode="External"/><Relationship Id="rId2152" Type="http://schemas.openxmlformats.org/officeDocument/2006/relationships/hyperlink" Target="https://c8.alamy.com/comp/RMTBRR/overloaded-truck-on-a-country-road-in-rajasthan-trucks-carrying-heavy-loads-characterize-traffic-in-india-RMTBRR.jpg" TargetMode="External"/><Relationship Id="rId124" Type="http://schemas.openxmlformats.org/officeDocument/2006/relationships/hyperlink" Target="https://encrypted-tbn0.gstatic.com/images?q=tbn:ANd9GcRMFQZRfP-wYoDwRnlbwmIozvrM1nhlIkz3eA&amp;s" TargetMode="External"/><Relationship Id="rId569" Type="http://schemas.openxmlformats.org/officeDocument/2006/relationships/hyperlink" Target="https://media.istockphoto.com/id/2156838758/photo/woman-strolls-with-phone-and-ice-cream.jpg?s=612x612&amp;w=0&amp;k=20&amp;c=2wloP8A1JOFCsm2VAQRmqhfzWmblhpDTw8D5uGFtTcI=" TargetMode="External"/><Relationship Id="rId776" Type="http://schemas.openxmlformats.org/officeDocument/2006/relationships/hyperlink" Target="https://media.istockphoto.com/id/1287538671/photo/crossing-the-street-at-a-pedestrian-crossing-and-looking-his-cellphone.jpg?s=612x612&amp;w=0&amp;k=20&amp;c=3LArQpBVUOczDvDP1Hz7cFnCE0MkeuC2FYxaKTuLYzY=" TargetMode="External"/><Relationship Id="rId983" Type="http://schemas.openxmlformats.org/officeDocument/2006/relationships/hyperlink" Target="https://st4.depositphotos.com/1585997/23461/i/450/depositphotos_234614154-stock-photo-brisbane-dec-2018-brisbane-city.jpg" TargetMode="External"/><Relationship Id="rId1199" Type="http://schemas.openxmlformats.org/officeDocument/2006/relationships/hyperlink" Target="https://media.istockphoto.com/id/898963320/photo/waterfilled-pothole-on-asphalted-road.jpg?s=612x612&amp;w=0&amp;k=20&amp;c=Kk9Nee9qN8Gu6dcjaI8tlGl8580GncHSq1D8cHxtSRc=" TargetMode="External"/><Relationship Id="rId331" Type="http://schemas.openxmlformats.org/officeDocument/2006/relationships/hyperlink" Target="https://media.istockphoto.com/id/1482838658/photo/father-and-children-crossing-road-on-pedestrian-crosswalk.jpg?s=612x612&amp;w=0&amp;k=20&amp;c=DgHIEw_HLqnrq6hl_dSdhHLIHhuZzHHEthwcDo7yMyc=" TargetMode="External"/><Relationship Id="rId429" Type="http://schemas.openxmlformats.org/officeDocument/2006/relationships/hyperlink" Target="https://media.istockphoto.com/id/1207725287/photo/woman-with-mask-crossing-street.jpg?s=612x612&amp;w=0&amp;k=20&amp;c=mRwOSQJnl3sNw58Hp8UM9MMOqy4j6rZAv15w03yth5c=" TargetMode="External"/><Relationship Id="rId636" Type="http://schemas.openxmlformats.org/officeDocument/2006/relationships/hyperlink" Target="https://th-i.thgim.com/public/incoming/paq75q/article65863100.ece/alternates/LANDSCAPE_1200/vjkvg-ped%201.jpg" TargetMode="External"/><Relationship Id="rId1059" Type="http://schemas.openxmlformats.org/officeDocument/2006/relationships/hyperlink" Target="https://www.canberratimes.com.au/images/transform/v1/crop/frm/175630965/4690ef79-28e6-4d79-a8d2-263f1c852249.png/r0_135_1018_669_w1200_h630_fmax.jpg" TargetMode="External"/><Relationship Id="rId1266" Type="http://schemas.openxmlformats.org/officeDocument/2006/relationships/hyperlink" Target="https://media.istockphoto.com/id/1440579448/photo/car-crash.jpg?s=612x612&amp;w=0&amp;k=20&amp;c=Y7ruaQuUtTx2MZJbQSUKjY5UOY_gfTnSNDFNSMbJEqU=" TargetMode="External"/><Relationship Id="rId1473" Type="http://schemas.openxmlformats.org/officeDocument/2006/relationships/hyperlink" Target="https://images.unsplash.com/photo-1664391810644-6331d6780ea1?w=500&amp;auto=format&amp;fit=crop&amp;q=60&amp;ixlib=rb-4.1.0&amp;ixid=M3wxMjA3fDB8MHxzZWFyY2h8MTR8fGNhciUyMGF0JTIwcmVkJTIwbGlnaHR8ZW58MHx8MHx8fDA%3D" TargetMode="External"/><Relationship Id="rId2012" Type="http://schemas.openxmlformats.org/officeDocument/2006/relationships/hyperlink" Target="https://images.unsplash.com/photo-1590079105886-f0f884bf4437?w=400&amp;auto=format&amp;fit=crop&amp;q=60&amp;ixlib=rb-4.1.0&amp;ixid=M3wxMjA3fDB8MHxzZWFyY2h8NDB8fHRydWNrfGVufDB8fDB8fHww" TargetMode="External"/><Relationship Id="rId2317" Type="http://schemas.openxmlformats.org/officeDocument/2006/relationships/hyperlink" Target="https://media.istockphoto.com/id/1347294000/photo/a-truck-filled-to-the-brim-transports-round-bales-of-hay.jpg?s=612x612&amp;w=0&amp;k=20&amp;c=PWrQJRRDk1pZ4KWHPFYQt_XNBTJ13FYAy4RhWCZ7rxU=" TargetMode="External"/><Relationship Id="rId843" Type="http://schemas.openxmlformats.org/officeDocument/2006/relationships/hyperlink" Target="https://st.depositphotos.com/1066342/2004/i/450/depositphotos_20048743-stock-photo-melbourne-by-the-fast-track.jpg" TargetMode="External"/><Relationship Id="rId1126" Type="http://schemas.openxmlformats.org/officeDocument/2006/relationships/hyperlink" Target="https://c8.alamy.com/comp/ARTWA5/flooded-road-traffic-cars-in-flood-waters-driving-in-flood-conditions-ARTWA5.jpg" TargetMode="External"/><Relationship Id="rId1680" Type="http://schemas.openxmlformats.org/officeDocument/2006/relationships/hyperlink" Target="https://i.dailymail.co.uk/i/pix/2017/02/01/17/3CBC089B00000578-4180528-image-a-31_1485968419972.jpg" TargetMode="External"/><Relationship Id="rId1778" Type="http://schemas.openxmlformats.org/officeDocument/2006/relationships/hyperlink" Target="https://images.carexpert.com.au/resize/960/-/app/uploads/2023/08/blocked-intersection-2.png" TargetMode="External"/><Relationship Id="rId1985" Type="http://schemas.openxmlformats.org/officeDocument/2006/relationships/hyperlink" Target="https://media.istockphoto.com/id/2155601198/photo/canoe-on-roof-top-of-car-van.jpg?s=612x612&amp;w=0&amp;k=20&amp;c=b5RIS1pVVzVSpcm51A5AqNbdhCLt_Y7BCr2EHgLVOUs=" TargetMode="External"/><Relationship Id="rId703" Type="http://schemas.openxmlformats.org/officeDocument/2006/relationships/hyperlink" Target="https://media.istockphoto.com/id/535338031/photo/using-mobile-telephone-while-crossing-a-road.jpg?s=612x612&amp;w=0&amp;k=20&amp;c=Uo40cc_OtWsUwK8FveCQljGKcTzLq8V5zPAJipLbc2M=" TargetMode="External"/><Relationship Id="rId910" Type="http://schemas.openxmlformats.org/officeDocument/2006/relationships/hyperlink" Target="https://media.istockphoto.com/id/1248118439/photo/road-on-the-island-of-tasmania.jpg?s=612x612&amp;w=0&amp;k=20&amp;c=KwIdpCoW3bZYUlMIgxJbTDLnK-qjy2QNdk1djLN32Oc=" TargetMode="External"/><Relationship Id="rId1333" Type="http://schemas.openxmlformats.org/officeDocument/2006/relationships/hyperlink" Target="https://media.istockphoto.com/id/601945516/photo/high-water-street-flooding.jpg?s=612x612&amp;w=0&amp;k=20&amp;c=V4260s88J7KjO52aK9GaZqZS6bckaQW8nlWmfNcqzMM=" TargetMode="External"/><Relationship Id="rId1540" Type="http://schemas.openxmlformats.org/officeDocument/2006/relationships/hyperlink" Target="https://encrypted-tbn0.gstatic.com/images?q=tbn:ANd9GcR3kc5V_azgTbA15KeQX8MCCAEGSnKYVTi0dA&amp;s" TargetMode="External"/><Relationship Id="rId1638" Type="http://schemas.openxmlformats.org/officeDocument/2006/relationships/hyperlink" Target="https://encrypted-tbn0.gstatic.com/images?q=tbn:ANd9GcSR6-m078yd3P3x3WhP8eer3jUXlhmtIStk4nxEwy7omlXGF89KiST04t3GdgmvnxV6iUE&amp;usqp=CAU" TargetMode="External"/><Relationship Id="rId1400" Type="http://schemas.openxmlformats.org/officeDocument/2006/relationships/hyperlink" Target="https://media.istockphoto.com/id/1663006730/photo/driving-at-dusk-stop-sign-red-traffic-lights-rear-view-of-car-waiting.jpg?s=1024x1024&amp;w=is&amp;k=20&amp;c=WCd5j9XkHG9CnVqq97obOA3My--tTGfo5wpYHjZAysU=" TargetMode="External"/><Relationship Id="rId1845" Type="http://schemas.openxmlformats.org/officeDocument/2006/relationships/hyperlink" Target="https://images.nature.com/lw1200/magazine-assets/d41586-019-00191-0/d41586-019-00191-0_16402114.jpg" TargetMode="External"/><Relationship Id="rId1705" Type="http://schemas.openxmlformats.org/officeDocument/2006/relationships/hyperlink" Target="https://images.unsplash.com/photo-1663406288629-4c3a2dd0b452?q=80&amp;w=1187&amp;auto=format&amp;fit=crop&amp;ixlib=rb-4.1.0&amp;ixid=M3wxMjA3fDB8MHxwaG90by1wYWdlfHx8fGVufDB8fHx8fA%3D%3D" TargetMode="External"/><Relationship Id="rId1912" Type="http://schemas.openxmlformats.org/officeDocument/2006/relationships/hyperlink" Target="https://media.istockphoto.com/id/946210052/photo/caravan-or-convoy-of-trucks-on-highway.jpg?s=1024x1024&amp;w=is&amp;k=20&amp;c=iBPkPhLDcLWhR6N-mwXba5W220LNEHO85SFXJpiC8K4=" TargetMode="External"/><Relationship Id="rId286" Type="http://schemas.openxmlformats.org/officeDocument/2006/relationships/hyperlink" Target="https://media.istockphoto.com/id/1073413506/photo/traveling-with-my-best-friend.jpg?b=1&amp;s=612x612&amp;w=0&amp;k=20&amp;c=lvzmPaFUveIQUT6lNYrK1IIdLct2ZQZRvGrusOrcP7s=" TargetMode="External"/><Relationship Id="rId493" Type="http://schemas.openxmlformats.org/officeDocument/2006/relationships/hyperlink" Target="https://media.istockphoto.com/id/478525372/photo/woman-crossing-the-street-at-pedestrian-crossing.jpg?s=612x612&amp;w=0&amp;k=20&amp;c=eLWbO3l_mLfgUYDadVagNAKpeuJ_DuRFby3V8H3gqLQ=" TargetMode="External"/><Relationship Id="rId2174" Type="http://schemas.openxmlformats.org/officeDocument/2006/relationships/hyperlink" Target="https://c8.alamy.com/comp/CXXWCW/overloaded-truck-on-the-road-to-mysore-india-CXXWCW.jpg" TargetMode="External"/><Relationship Id="rId146" Type="http://schemas.openxmlformats.org/officeDocument/2006/relationships/hyperlink" Target="https://upload.wikimedia.org/wikipedia/commons/thumb/4/42/Drinking_and_driving.jpg/960px-Drinking_and_driving.jpg" TargetMode="External"/><Relationship Id="rId353" Type="http://schemas.openxmlformats.org/officeDocument/2006/relationships/hyperlink" Target="https://azstaaldotnewseus2.blob.core.windows.net/blobaldotnewsef8d948ead1/wp-content/uploads/2024/10/pedestrian-safety-image-scaled.jpg" TargetMode="External"/><Relationship Id="rId560" Type="http://schemas.openxmlformats.org/officeDocument/2006/relationships/hyperlink" Target="https://toolkit.irap.org/wp-content/uploads/2022/02/Pedestrians-cross-a-busy-multilane-road-underneath-a-pedestrian-bridge-in-China.-Credit-iRAP-2-scaled.jpg" TargetMode="External"/><Relationship Id="rId798" Type="http://schemas.openxmlformats.org/officeDocument/2006/relationships/hyperlink" Target="https://content.api.news/v3/images/bin/67f13eb2acc18315091ae2ac07bcb666" TargetMode="External"/><Relationship Id="rId1190" Type="http://schemas.openxmlformats.org/officeDocument/2006/relationships/hyperlink" Target="https://media.istockphoto.com/id/1151871082/photo/tree-that-fell-after-a-storm-in-the-urban-area-old-tree-trunk-fallen-in-the-city.jpg?s=612x612&amp;w=0&amp;k=20&amp;c=cR0pP-kTpPPJKCuR4qPD4PDNGyRqGVyP7uFd2jv0a60=" TargetMode="External"/><Relationship Id="rId2034" Type="http://schemas.openxmlformats.org/officeDocument/2006/relationships/hyperlink" Target="https://images.unsplash.com/photo-1721804295754-1905f69c86ad?w=400&amp;auto=format&amp;fit=crop&amp;q=60&amp;ixlib=rb-4.1.0&amp;ixid=M3wxMjA3fDB8MHxzZWFyY2h8MTF8fHRydWNrJTIwY2Fycnlpbmd8ZW58MHx8MHx8fDA%3D" TargetMode="External"/><Relationship Id="rId2241" Type="http://schemas.openxmlformats.org/officeDocument/2006/relationships/hyperlink" Target="https://st4.depositphotos.com/5764720/31101/i/450/depositphotos_311015906-stock-photo-funny-horse-transport-carriage-horses.jpg" TargetMode="External"/><Relationship Id="rId213" Type="http://schemas.openxmlformats.org/officeDocument/2006/relationships/hyperlink" Target="https://st5.depositphotos.com/1020218/67914/i/380/depositphotos_679146880-stock-photo-close-woman-using-mobile-phone.jpg" TargetMode="External"/><Relationship Id="rId420" Type="http://schemas.openxmlformats.org/officeDocument/2006/relationships/hyperlink" Target="https://media.istockphoto.com/id/1144320423/photo/crosswalk-people-crossing-in-downtown.jpg?s=612x612&amp;w=0&amp;k=20&amp;c=00bXtY6qbcH_3XGO_XJeCz167oR4VQYEy9D2hrg6w5M=" TargetMode="External"/><Relationship Id="rId658" Type="http://schemas.openxmlformats.org/officeDocument/2006/relationships/hyperlink" Target="https://media.istockphoto.com/id/930104342/photo/young-woman-looks-at-her-cellphone-and-does-not-pay-attention-to-traffic.jpg?s=612x612&amp;w=0&amp;k=20&amp;c=EykyKNFg5DrP_OmoSOgHfgn9RvCCJUx6y2DwrNhw8C8=" TargetMode="External"/><Relationship Id="rId865" Type="http://schemas.openxmlformats.org/officeDocument/2006/relationships/hyperlink" Target="https://media.istockphoto.com/id/513106144/photo/traffic-on-highway-with-cars.jpg?s=612x612&amp;w=0&amp;k=20&amp;c=dXm6BH6TnIHFu202PlQJNdM12lZQBt11Tkbqx85rHdQ=" TargetMode="External"/><Relationship Id="rId1050" Type="http://schemas.openxmlformats.org/officeDocument/2006/relationships/hyperlink" Target="https://upload.wikimedia.org/wikipedia/commons/thumb/7/77/Deer_Park_Bypass_eastbound_at_Western_Ring_Road.jpg/250px-Deer_Park_Bypass_eastbound_at_Western_Ring_Road.jpg" TargetMode="External"/><Relationship Id="rId1288" Type="http://schemas.openxmlformats.org/officeDocument/2006/relationships/hyperlink" Target="https://st.depositphotos.com/1730665/1369/i/380/depositphotos_13697119-stock-photo-the-echidna-tachyglossus-aculeatus-crosses.jpg" TargetMode="External"/><Relationship Id="rId1495" Type="http://schemas.openxmlformats.org/officeDocument/2006/relationships/hyperlink" Target="https://images.unsplash.com/photo-1699447089563-7ca8dcc7cf93?w=500&amp;auto=format&amp;fit=crop&amp;q=60&amp;ixlib=rb-4.1.0&amp;ixid=M3wxMjA3fDB8MHxzZWFyY2h8NDB8fGNhciUyMGF0JTIwcmVkJTIwbGlnaHR8ZW58MHx8MHx8fDA%3D" TargetMode="External"/><Relationship Id="rId2101" Type="http://schemas.openxmlformats.org/officeDocument/2006/relationships/hyperlink" Target="https://terrysamui.wordpress.com/wp-content/uploads/2017/01/overloaded-driving-cars-motorcycles-vans-trucks-pick-ups-samui-thailand-funny-strange-unusual-18.jpg" TargetMode="External"/><Relationship Id="rId2339" Type="http://schemas.openxmlformats.org/officeDocument/2006/relationships/hyperlink" Target="https://encrypted-tbn0.gstatic.com/images?q=tbn:ANd9GcQqTx9COrIqbcEFQ9j6fnzqbv-uxiiqULGEzx2Lp5tBTLAfF0O6D5gEAdxl2ebobFCo3kU&amp;usqp=CAU" TargetMode="External"/><Relationship Id="rId518" Type="http://schemas.openxmlformats.org/officeDocument/2006/relationships/hyperlink" Target="https://media.istockphoto.com/id/2096267867/photo/a-father-and-son-crossing-a-crosswalk-while-holding-hands.jpg?s=612x612&amp;w=0&amp;k=20&amp;c=rBgbuLnX-WOI7lsBK1Bup8pBmESpEgxIvyC7gbJJDkw=" TargetMode="External"/><Relationship Id="rId725" Type="http://schemas.openxmlformats.org/officeDocument/2006/relationships/hyperlink" Target="https://media.istockphoto.com/id/1278097812/photo/girl-crossing-the-street-while-the-stoplight-is-showing-the-red-man-pedestrian-jaywalking.jpg?s=612x612&amp;w=0&amp;k=20&amp;c=PhNm6vhD91IkWs2A37aGiCFeD7wO_nf5W2rD3W3zuQ0=" TargetMode="External"/><Relationship Id="rId932" Type="http://schemas.openxmlformats.org/officeDocument/2006/relationships/hyperlink" Target="https://media.istockphoto.com/id/1159476981/photo/panoramic-mountain-road.jpg?s=612x612&amp;w=0&amp;k=20&amp;c=dzwyML72TB5X_Xrb31f0TyvIUBh7fyrrFbyNiY4mBPY=" TargetMode="External"/><Relationship Id="rId1148" Type="http://schemas.openxmlformats.org/officeDocument/2006/relationships/hyperlink" Target="https://h7.alamy.com/comp/FJ5NH1/american-bison-buffalo-bison-bison-male-crossing-a-street-usa-wyoming-FJ5NH1.jpg" TargetMode="External"/><Relationship Id="rId1355" Type="http://schemas.openxmlformats.org/officeDocument/2006/relationships/hyperlink" Target="https://media.istockphoto.com/id/522564791/photo/winter-sun-on-sunday-motorway-traffic-essex-england.jpg?s=1024x1024&amp;w=is&amp;k=20&amp;c=LX2usWbX5L7lIkT_62x8090Umn61U4iD-DEIScFRP88=" TargetMode="External"/><Relationship Id="rId1562" Type="http://schemas.openxmlformats.org/officeDocument/2006/relationships/hyperlink" Target="https://media.istockphoto.com/id/1527377922/photo/congested-motorway-in-the-twilight.jpg?s=612x612&amp;w=0&amp;k=20&amp;c=1MDDDYhqEkGKwV4pvCjSGdMFIt6mXM7EOoECoRrg3rs=" TargetMode="External"/><Relationship Id="rId1008" Type="http://schemas.openxmlformats.org/officeDocument/2006/relationships/hyperlink" Target="https://st3.depositphotos.com/30030580/34805/i/450/depositphotos_348055962-stock-photo-the-m1-motorway-is-at.jpg" TargetMode="External"/><Relationship Id="rId1215" Type="http://schemas.openxmlformats.org/officeDocument/2006/relationships/hyperlink" Target="https://media.istockphoto.com/id/1848810166/photo/water-in-pothole.jpg?s=612x612&amp;w=0&amp;k=20&amp;c=jRRnzBxgBAM-mIM5-2hDbCv9Ka_vkWgS4t0oZrD-2lM=" TargetMode="External"/><Relationship Id="rId1422" Type="http://schemas.openxmlformats.org/officeDocument/2006/relationships/hyperlink" Target="https://www.highwaycode.com.ng/uploads/3/2/9/2/3292309/6877789.png?504" TargetMode="External"/><Relationship Id="rId1867" Type="http://schemas.openxmlformats.org/officeDocument/2006/relationships/hyperlink" Target="https://media.istockphoto.com/id/2171315695/photo/car-for-traveling-with-a-mountain-road.jpg?s=612x612&amp;w=0&amp;k=20&amp;c=4Sas1Ppp5J6KYGiJPRvlDonYGuTOVPmia0j4wmhkWN8=" TargetMode="External"/><Relationship Id="rId61" Type="http://schemas.openxmlformats.org/officeDocument/2006/relationships/hyperlink" Target="https://static.vecteezy.com/system/resources/previews/045/478/110/large_2x/young-woman-using-mobile-phone-while-driving-car-on-highway-road-during-sunset-womandriver-has-accident-calling-with-smartphone-for-help-business-woman-busy-driving-concept-photo.jpg" TargetMode="External"/><Relationship Id="rId1727" Type="http://schemas.openxmlformats.org/officeDocument/2006/relationships/hyperlink" Target="https://blogger.googleusercontent.com/img/b/R29vZ2xl/AVvXsEh9_XXl81YI8WIS6t-ThmVJ6fvM3tS9eEWg13fcQirGBThD15ffn9dZrxhD2LGEfjethGqcOJ3XEFptPRBdJ0iFa7Bz0b_HFSzEeUvJ8CFdGOnLHkswhvoCuUOxaYSbBuXALnmNeA/s1600/reddit+-+red+light+fine.png" TargetMode="External"/><Relationship Id="rId1934" Type="http://schemas.openxmlformats.org/officeDocument/2006/relationships/hyperlink" Target="https://media.istockphoto.com/id/1465157700/photo/brightly-red-colored-semi-truck-speeding-on-a-two-lane-highway-with-cars-in-background-under.jpg?s=612x612&amp;w=0&amp;k=20&amp;c=cfbbPy2ylvFGRULNLGO_Ucm-C5DsOJMFHiZBdKGsq3c=" TargetMode="External"/><Relationship Id="rId19" Type="http://schemas.openxmlformats.org/officeDocument/2006/relationships/hyperlink" Target="https://encrypted-tbn0.gstatic.com/images?q=tbn:ANd9GcTUS4Iz29HjVQQXCjQRjZz9xUR0wyC8o-Me6Q&amp;s" TargetMode="External"/><Relationship Id="rId2196" Type="http://schemas.openxmlformats.org/officeDocument/2006/relationships/hyperlink" Target="https://st4.depositphotos.com/22797156/24497/i/450/depositphotos_244970934-stock-photo-landscape-moroccan-desert.jpg" TargetMode="External"/><Relationship Id="rId168" Type="http://schemas.openxmlformats.org/officeDocument/2006/relationships/hyperlink" Target="https://media.istockphoto.com/id/2024952271/photo/asian-lady-holding-hamburger-and-french-fries-to-eat-in-car-dangerous-and-risk-an-accident.webp?s=2048x2048&amp;w=is&amp;k=20&amp;c=bw7NsEOEORfD3GSkyGj8xugiS-xpk5BXFyh-2TyOGrg=" TargetMode="External"/><Relationship Id="rId375" Type="http://schemas.openxmlformats.org/officeDocument/2006/relationships/hyperlink" Target="https://freight.cargo.site/t/original/i/34bf443e9c7940adf00d264f4b3c422233e1dc9ef4ffcb2a31eb1adeff92be95/Stands_Cover.jpg" TargetMode="External"/><Relationship Id="rId582" Type="http://schemas.openxmlformats.org/officeDocument/2006/relationships/hyperlink" Target="https://media.istockphoto.com/id/1150351464/photo/jaywalking-on-a-city-street.jpg?s=612x612&amp;w=0&amp;k=20&amp;c=xvH692j6e2bA03I86zgcYoZ40DLRmf1Dd_hR7IY5n-Y=" TargetMode="External"/><Relationship Id="rId2056" Type="http://schemas.openxmlformats.org/officeDocument/2006/relationships/hyperlink" Target="https://media.istockphoto.com/id/938116384/photo/truck-transporting-wood.jpg?s=612x612&amp;w=0&amp;k=20&amp;c=bpySouUP_1SQ_7LxBdtmulFnZ_5nN1L_vfnFm0lX5Ls=" TargetMode="External"/><Relationship Id="rId2263" Type="http://schemas.openxmlformats.org/officeDocument/2006/relationships/hyperlink" Target="https://st5.depositphotos.com/5388620/76518/i/450/depositphotos_765183352-stock-photo-overburdened-truck-travels-highway-illustrating.jpg" TargetMode="External"/><Relationship Id="rId3" Type="http://schemas.openxmlformats.org/officeDocument/2006/relationships/hyperlink" Target="https://cdn.bookingtimes.com/Common/LoadImage?Id=98991&amp;v=1" TargetMode="External"/><Relationship Id="rId235" Type="http://schemas.openxmlformats.org/officeDocument/2006/relationships/hyperlink" Target="https://st5.depositphotos.com/9045224/75564/i/380/depositphotos_755649942-stock-photo-woman-applying-lipstick-while-seated.jpg" TargetMode="External"/><Relationship Id="rId442" Type="http://schemas.openxmlformats.org/officeDocument/2006/relationships/hyperlink" Target="https://st2.depositphotos.com/1609055/7563/i/380/depositphotos_75638913-stock-photo-woman-crossing-street-at-pedestrian.jpg" TargetMode="External"/><Relationship Id="rId887" Type="http://schemas.openxmlformats.org/officeDocument/2006/relationships/hyperlink" Target="https://media.istockphoto.com/id/499099945/photo/highway-401-during-the-day.jpg?s=612x612&amp;w=0&amp;k=20&amp;c=2oSv44SMWGfPu6jeL8n_jIw85dYAa00GgPowQ2R3UYI=" TargetMode="External"/><Relationship Id="rId1072" Type="http://schemas.openxmlformats.org/officeDocument/2006/relationships/hyperlink" Target="https://media.istockphoto.com/id/934265026/photo/road-is-paved-with-cracks-in-pits-and-puddles-from-snow-landscape-of-winter-road-in-cloudy.jpg?s=612x612&amp;w=0&amp;k=20&amp;c=QPu9-Q9e4lHW3BXYkONZ_lsT2oa-V1ALxlwJSn877Zg=" TargetMode="External"/><Relationship Id="rId2123" Type="http://schemas.openxmlformats.org/officeDocument/2006/relationships/hyperlink" Target="https://st3.depositphotos.com/1550655/15907/i/450/depositphotos_159076868-stock-photo-over-load-on-toyota-commuter.jpg" TargetMode="External"/><Relationship Id="rId2330" Type="http://schemas.openxmlformats.org/officeDocument/2006/relationships/hyperlink" Target="https://encrypted-tbn0.gstatic.com/images?q=tbn:ANd9GcTmzpW5ILbyjOtf2kmp0w0nAQyr1PO9IRJNSyfD1_FrJ4n_21Igw8gET2j3-bvIsGZr1Vg&amp;usqp=CAU" TargetMode="External"/><Relationship Id="rId302" Type="http://schemas.openxmlformats.org/officeDocument/2006/relationships/hyperlink" Target="https://media.istockphoto.com/id/1132356459/photo/senior-woman-crossing.jpg?s=612x612&amp;w=0&amp;k=20&amp;c=lI2anvVJtubV2aB0bzk9HeZSPpC_4G4iQNbY5L7RknM=" TargetMode="External"/><Relationship Id="rId747" Type="http://schemas.openxmlformats.org/officeDocument/2006/relationships/hyperlink" Target="https://encrypted-tbn0.gstatic.com/images?q=tbn:ANd9GcT9w1XHvVMUjqRe5CdatLuU4tvf4m4-uFFCAQ&amp;s" TargetMode="External"/><Relationship Id="rId954" Type="http://schemas.openxmlformats.org/officeDocument/2006/relationships/hyperlink" Target="https://media.istockphoto.com/id/1203937499/photo/city-road-through-modern-buildings-in-beijing.jpg?s=612x612&amp;w=0&amp;k=20&amp;c=2Mm1s2JFVVD7jv4sM4cHe8TvCe25xBe-w6W19rWzwQY=" TargetMode="External"/><Relationship Id="rId1377" Type="http://schemas.openxmlformats.org/officeDocument/2006/relationships/hyperlink" Target="https://images.unsplash.com/photo-1573584681653-f78b856e9521?w=500&amp;auto=format&amp;fit=crop&amp;q=60&amp;ixlib=rb-4.1.0&amp;ixid=M3wxMjA3fDB8MHxwaG90by1yZWxhdGVkfDEzfHx8ZW58MHx8fHx8" TargetMode="External"/><Relationship Id="rId1584" Type="http://schemas.openxmlformats.org/officeDocument/2006/relationships/hyperlink" Target="https://media.istockphoto.com/id/1527434333/photo/roadside-parking-by-a-bicycle-lane.jpg?s=612x612&amp;w=0&amp;k=20&amp;c=w08Ba-JM0gdSk2tpOSU_oG5EAG4vuG-zNS2Log05x60=" TargetMode="External"/><Relationship Id="rId1791" Type="http://schemas.openxmlformats.org/officeDocument/2006/relationships/hyperlink" Target="https://carfromjapan.com/wp-content/uploads/2020/08/How-to-Stay-Centered-in-Your-Lane.jpg" TargetMode="External"/><Relationship Id="rId83" Type="http://schemas.openxmlformats.org/officeDocument/2006/relationships/hyperlink" Target="https://media.gettyimages.com/id/1143801187/photo/young-girl-is-putting-lipstick-in-the-traffic-jam-in-rainy-day.jpg?s=612x612&amp;w=gi&amp;k=20&amp;c=Et3dGWYdv4VZDY3n6xdXWou6oo-5_Mf-h_W0Xr1xF1A=" TargetMode="External"/><Relationship Id="rId607" Type="http://schemas.openxmlformats.org/officeDocument/2006/relationships/hyperlink" Target="https://h7.alamy.com/comp/2S2270W/people-cross-the-road-on-a-red-traffic-light-pedestrian-violation-of-traffic-rules-urban-street-cape-town-south-africa-31-oct-2023-2S2270W.jpg" TargetMode="External"/><Relationship Id="rId814" Type="http://schemas.openxmlformats.org/officeDocument/2006/relationships/hyperlink" Target="https://images.unsplash.com/photo-1589828155685-83225f7d91f3?fm=jpg&amp;q=60&amp;w=3000&amp;ixlib=rb-4.1.0&amp;ixid=M3wxMjA3fDB8MHxzZWFyY2h8Mnx8cm9hZCUyMHdpdGglMjBjYXJzfGVufDB8fDB8fHww" TargetMode="External"/><Relationship Id="rId1237" Type="http://schemas.openxmlformats.org/officeDocument/2006/relationships/hyperlink" Target="https://st.depositphotos.com/3041475/4225/i/380/depositphotos_42253593-stock-photo-earthquake.jpg" TargetMode="External"/><Relationship Id="rId1444" Type="http://schemas.openxmlformats.org/officeDocument/2006/relationships/hyperlink" Target="https://media.istockphoto.com/id/1854349596/photo/happy-african-american-family-enjoying-car-ride-together.jpg?s=612x612&amp;w=0&amp;k=20&amp;c=0HcmeSgvHFdaeLNSmuacFGhJ1p3Pr5cgIe4ooS_YWy0=" TargetMode="External"/><Relationship Id="rId1651" Type="http://schemas.openxmlformats.org/officeDocument/2006/relationships/hyperlink" Target="https://media.istockphoto.com/id/182138065/photo/dangerous-crossing.jpg?s=612x612&amp;w=0&amp;k=20&amp;c=fBB4qAsCnRMQsjqZdrVK9q3yloKccC7WWh5CvlBb_jE=" TargetMode="External"/><Relationship Id="rId1889" Type="http://schemas.openxmlformats.org/officeDocument/2006/relationships/hyperlink" Target="https://media.istockphoto.com/id/1087268414/photo/bale-truck-carrying-straw.jpg?s=612x612&amp;w=0&amp;k=20&amp;c=C-bcXCZeEJiCG5DeTMAAwu8H1GjD--FUnxwpKOSPxvg=" TargetMode="External"/><Relationship Id="rId1304" Type="http://schemas.openxmlformats.org/officeDocument/2006/relationships/hyperlink" Target="https://st.depositphotos.com/18723914/57465/i/380/depositphotos_574652032-stock-photo-kangaroo-road-kangaroo-island-australia.jpg" TargetMode="External"/><Relationship Id="rId1511" Type="http://schemas.openxmlformats.org/officeDocument/2006/relationships/hyperlink" Target="https://media.istockphoto.com/id/690733780/photo/atlanta-skyline.jpg?s=612x612&amp;w=0&amp;k=20&amp;c=uFXzquNTl0noJH3clH6cYe3uzALjbqQHbRoqeGHAuCU=" TargetMode="External"/><Relationship Id="rId1749" Type="http://schemas.openxmlformats.org/officeDocument/2006/relationships/hyperlink" Target="https://s.yimg.com/ny/api/res/1.2/DEaCbq07ZnUKrqZa2ll90g--/YXBwaWQ9aGlnaGxhbmRlcjt3PTY0MDtoPTM0NQ--/https:/s.yimg.com/os/creatr-uploaded-images/2023-04/6f221f00-e3e0-11ed-be2e-782f0377c04c" TargetMode="External"/><Relationship Id="rId1956" Type="http://schemas.openxmlformats.org/officeDocument/2006/relationships/hyperlink" Target="https://media.istockphoto.com/id/1254690616/photo/car-and-caravan-on-holiday.jpg?s=612x612&amp;w=0&amp;k=20&amp;c=8-Uhp11nEE5TwOPn8WYr1kRM_BBn6IeT_MiALe6Wmos=" TargetMode="External"/><Relationship Id="rId1609" Type="http://schemas.openxmlformats.org/officeDocument/2006/relationships/hyperlink" Target="https://media.istockphoto.com/id/2161543642/photo/running-yellow-lights.webp?s=1024x1024&amp;w=is&amp;k=20&amp;c=FoZ9Ge1jeI5APSlvM03RZFFWZZPYo1QnGUhKEvlIzbo=" TargetMode="External"/><Relationship Id="rId1816" Type="http://schemas.openxmlformats.org/officeDocument/2006/relationships/hyperlink" Target="https://encrypted-tbn0.gstatic.com/images?q=tbn:ANd9GcRL3QJh2rgRppDgmT1c9Dkk96zAVDLAcyKptrKrIvsNWbwiU3oH_7zjIVv9RRgHnBTN4PQ&amp;usqp=CAU" TargetMode="External"/><Relationship Id="rId10" Type="http://schemas.openxmlformats.org/officeDocument/2006/relationships/hyperlink" Target="https://lh5.googleusercontent.com/y9o_BIcSyYxMONRHr8zx58hUr4Hjlj3in_9pHGaKDTSERFpVk-Y61wpqsD6O5KSdK_Xix4aQ076yOvTpnRtjyDAnXdrJ--QNzoVS21A_nBDXOggRcJkoIC0OQpbdgdewbg" TargetMode="External"/><Relationship Id="rId397" Type="http://schemas.openxmlformats.org/officeDocument/2006/relationships/hyperlink" Target="https://media.istockphoto.com/id/1138882552/photo/crossing-in-the-rain.jpg?s=612x612&amp;w=0&amp;k=20&amp;c=y9v3epb4_qWdHWvF_aVRBW5xZ4wTWZgkqUhaG9xH3Vo=" TargetMode="External"/><Relationship Id="rId2078" Type="http://schemas.openxmlformats.org/officeDocument/2006/relationships/hyperlink" Target="https://media.istockphoto.com/id/1340562165/photo/a-trailer-with-hay-ready-to-be-towed-zamora-spain.jpg?s=612x612&amp;w=0&amp;k=20&amp;c=Pg1GtgJawmQLip89KgajyZtE3vivZ08CNYdF7dDhFPw=" TargetMode="External"/><Relationship Id="rId2285" Type="http://schemas.openxmlformats.org/officeDocument/2006/relationships/hyperlink" Target="https://images.unsplash.com/photo-1593453956714-f33d116c223c?w=400&amp;auto=format&amp;fit=crop&amp;q=60&amp;ixlib=rb-4.1.0&amp;ixid=M3wxMjA3fDB8MHxzZWFyY2h8OHx8dHJ1Y2slMjBjYXJyeWluZ3xlbnwwfHwwfHx8MA%3D%3D" TargetMode="External"/><Relationship Id="rId257" Type="http://schemas.openxmlformats.org/officeDocument/2006/relationships/hyperlink" Target="https://st5.depositphotos.com/3773545/71750/i/380/depositphotos_717508808-stock-photo-young-woman-listening-voice-message.jpg" TargetMode="External"/><Relationship Id="rId464" Type="http://schemas.openxmlformats.org/officeDocument/2006/relationships/hyperlink" Target="https://images.unsplash.com/photo-1717199891158-66008d9c68b5?w=500&amp;auto=format&amp;fit=crop&amp;q=60&amp;ixlib=rb-4.1.0&amp;ixid=M3wxMjA3fDB8MHxzZWFyY2h8NjZ8fHBlZGVzdHJpYW4lMjB3YWxraW5nJTIwZ3JlZW4lMjBsaWdodHxlbnwwfHwwfHx8MA%3D%3D" TargetMode="External"/><Relationship Id="rId1094" Type="http://schemas.openxmlformats.org/officeDocument/2006/relationships/hyperlink" Target="https://st5.depositphotos.com/26285604/67760/i/380/depositphotos_677606274-stock-photo-porcupine-crossing-road-khao-yai.jpg" TargetMode="External"/><Relationship Id="rId2145" Type="http://schemas.openxmlformats.org/officeDocument/2006/relationships/hyperlink" Target="https://c8.alamy.com/comp/RFPA79/load-vehicles-can-sometimes-create-traffic-hazards-RFPA79.jpg" TargetMode="External"/><Relationship Id="rId117" Type="http://schemas.openxmlformats.org/officeDocument/2006/relationships/hyperlink" Target="https://encrypted-tbn0.gstatic.com/images?q=tbn:ANd9GcQHT8CiwIYQlBMMMwkmE2Gk0G77PMfEoeJcAaZVgyFGtq33nRDSqYR5_6aYe4kZyUAVqNQ&amp;usqp=CAU" TargetMode="External"/><Relationship Id="rId671" Type="http://schemas.openxmlformats.org/officeDocument/2006/relationships/hyperlink" Target="https://media.istockphoto.com/id/1404143018/photo/vertical-photo-of-women-crossing-the-street-together-while-using-a-mobile.jpg?s=612x612&amp;w=0&amp;k=20&amp;c=cnp2t6Yk-vLXLMOOMT6nsCEc2gTPVuxp25ZYUSlRWSw=" TargetMode="External"/><Relationship Id="rId769" Type="http://schemas.openxmlformats.org/officeDocument/2006/relationships/hyperlink" Target="https://jbsolicitors.com.au/wp-content/uploads/2023/02/jaywalking-featured.jpg" TargetMode="External"/><Relationship Id="rId976" Type="http://schemas.openxmlformats.org/officeDocument/2006/relationships/hyperlink" Target="https://st4.depositphotos.com/1841867/28185/i/450/depositphotos_281851370-stock-photo-m1-eastern-distributor-highway-view.jpg" TargetMode="External"/><Relationship Id="rId1399" Type="http://schemas.openxmlformats.org/officeDocument/2006/relationships/hyperlink" Target="https://media.istockphoto.com/id/477707350/photo/king-street-newtown.jpg?s=612x612&amp;w=0&amp;k=20&amp;c=C8ZyJCmlcmf7h6adgIiBrZWAuNUjOzPjqAO6yfagezc=" TargetMode="External"/><Relationship Id="rId2352" Type="http://schemas.openxmlformats.org/officeDocument/2006/relationships/hyperlink" Target="https://www.truckloadaustralia.com.au/thumbnaillarge/M_full_img-dark2.jpg" TargetMode="External"/><Relationship Id="rId324" Type="http://schemas.openxmlformats.org/officeDocument/2006/relationships/hyperlink" Target="https://images.unsplash.com/photo-1642071241624-4886abb7a3e1?w=500&amp;auto=format&amp;fit=crop&amp;q=60&amp;ixlib=rb-4.1.0&amp;ixid=M3wxMjA3fDB8MHxzZWFyY2h8MTA4fHxwZWRlc3RyaWFuJTIwd2Fsa2luZyUyMGdyZWVuJTIwbGlnaHR8ZW58MHx8MHx8fDA%3D" TargetMode="External"/><Relationship Id="rId531" Type="http://schemas.openxmlformats.org/officeDocument/2006/relationships/hyperlink" Target="https://media.istockphoto.com/id/1165101627/photo/group-of-children-crossing-road-on-zebra-crossing.jpg?s=612x612&amp;w=0&amp;k=20&amp;c=lJqdR1cBzAXlx-LJ2Q4-K6XkBbsBUxOaHUudfbFXyvE=" TargetMode="External"/><Relationship Id="rId629" Type="http://schemas.openxmlformats.org/officeDocument/2006/relationships/hyperlink" Target="https://www.marietta-chiropractor.com/wp-content/uploads/sites/11/2022/09/Distracted-Walking.jpg" TargetMode="External"/><Relationship Id="rId1161" Type="http://schemas.openxmlformats.org/officeDocument/2006/relationships/hyperlink" Target="https://media.istockphoto.com/id/178737837/photo/closeup-of-the-landslide-of-a-blocked-road.jpg?s=612x612&amp;w=0&amp;k=20&amp;c=-M46JyWIGWdZ0g-VdzVFO6gw0Dgw-03NW1oShtVvENE=" TargetMode="External"/><Relationship Id="rId1259" Type="http://schemas.openxmlformats.org/officeDocument/2006/relationships/hyperlink" Target="https://media.istockphoto.com/id/173845298/photo/crash.jpg?s=612x612&amp;w=0&amp;k=20&amp;c=uLdLReLUkAFEOkCy7p8n5nq0OOjAwqdP8g3vpltp8EQ=" TargetMode="External"/><Relationship Id="rId1466" Type="http://schemas.openxmlformats.org/officeDocument/2006/relationships/hyperlink" Target="https://media.istockphoto.com/id/173606170/photo/cars-and-winter.jpg?s=612x612&amp;w=0&amp;k=20&amp;c=Kx1FFqI9phN87xW6hcSX0WLeZyTqn3bCQdr-Jccyec8=" TargetMode="External"/><Relationship Id="rId2005" Type="http://schemas.openxmlformats.org/officeDocument/2006/relationships/hyperlink" Target="https://images.unsplash.com/photo-1591768793355-74d04bb6608f?w=400&amp;auto=format&amp;fit=crop&amp;q=60&amp;ixlib=rb-4.1.0&amp;ixid=M3wxMjA3fDB8MHxzZWFyY2h8MTB8fHRydWNrfGVufDB8fDB8fHww" TargetMode="External"/><Relationship Id="rId2212" Type="http://schemas.openxmlformats.org/officeDocument/2006/relationships/hyperlink" Target="https://st2.depositphotos.com/1471096/48330/i/450/depositphotos_483307244-stock-photo-colorful-car-loaded-things-road.jpg" TargetMode="External"/><Relationship Id="rId836" Type="http://schemas.openxmlformats.org/officeDocument/2006/relationships/hyperlink" Target="https://media.istockphoto.com/id/1082720986/photo/expressway-and-modern-urban-architecture-in-qiantang-river-new-town-hangzhou-china.jpg?s=612x612&amp;w=0&amp;k=20&amp;c=NgXXcxKTldhCwkS0P7ocDtkZs1Yd2pp5GNbBu1JJmdo=" TargetMode="External"/><Relationship Id="rId1021" Type="http://schemas.openxmlformats.org/officeDocument/2006/relationships/hyperlink" Target="https://st3.depositphotos.com/29384342/33879/i/450/depositphotos_338797404-stock-photo-transit-road-melbourne-skyline-background.jpg" TargetMode="External"/><Relationship Id="rId1119" Type="http://schemas.openxmlformats.org/officeDocument/2006/relationships/hyperlink" Target="https://www.insuranceneighbor.com/wp-content/uploads/sites/2939/2019/12/Road-Hazard-Pothole.jpg" TargetMode="External"/><Relationship Id="rId1673" Type="http://schemas.openxmlformats.org/officeDocument/2006/relationships/hyperlink" Target="https://www.hikvision.com/content/dam/hikvision/en/marketing/image/solution/solutions-by-industry/traffic/traffic-violation-management/1-reducing-enforcement-disputes.jpg" TargetMode="External"/><Relationship Id="rId1880" Type="http://schemas.openxmlformats.org/officeDocument/2006/relationships/hyperlink" Target="https://media.istockphoto.com/id/1279002529/photo/long-haul-semi-truck-on-a-rural-western-usa-interstate-highway.jpg?s=612x612&amp;w=0&amp;k=20&amp;c=whigLZsLjC6BLRWcEMdgqRt-sZk70T39U0tEDg7NVss=" TargetMode="External"/><Relationship Id="rId1978" Type="http://schemas.openxmlformats.org/officeDocument/2006/relationships/hyperlink" Target="https://media.istockphoto.com/id/467838539/photo/car-with-kayak-canoe-on-top-blue-sky-active-lifestyle.jpg?s=612x612&amp;w=0&amp;k=20&amp;c=KtkCc8AZIL3_rmKzib3tIBGYaM3s5R_N5BQWPrcAcRA=" TargetMode="External"/><Relationship Id="rId903" Type="http://schemas.openxmlformats.org/officeDocument/2006/relationships/hyperlink" Target="https://media.istockphoto.com/id/646995866/photo/sydney-traffic-out-of-focus-4k.jpg?s=612x612&amp;w=0&amp;k=20&amp;c=FrTfCATbIwh8ZGP4KNID3rURdPISFSN8tvqVitenCto=" TargetMode="External"/><Relationship Id="rId1326" Type="http://schemas.openxmlformats.org/officeDocument/2006/relationships/hyperlink" Target="https://media.istockphoto.com/id/1167145186/photo/koala-sitting-in-the-middle-of-the-road.jpg?s=612x612&amp;w=0&amp;k=20&amp;c=2WL-Mv4DE2kGi2QTBvrCTdYuSgO44zkvl_40kt33PHs=" TargetMode="External"/><Relationship Id="rId1533" Type="http://schemas.openxmlformats.org/officeDocument/2006/relationships/hyperlink" Target="https://encrypted-tbn0.gstatic.com/images?q=tbn:ANd9GcR6rEhk22kl5gunAeGozvYyRDG_832UOE01TkpCeQM9lKKGCfSBtfdrEMvAv8J4E5A_XJI&amp;usqp=CAU" TargetMode="External"/><Relationship Id="rId1740" Type="http://schemas.openxmlformats.org/officeDocument/2006/relationships/hyperlink" Target="https://thatsmyspot.com.au/wp-content/uploads/2022/11/Illegal-parking-along-sidewalk-image.jpeg" TargetMode="External"/><Relationship Id="rId32" Type="http://schemas.openxmlformats.org/officeDocument/2006/relationships/hyperlink" Target="https://st3.depositphotos.com/13146722/33934/i/380/depositphotos_339345688-stock-photo-adult-male-caucasian-person-eating.jpg" TargetMode="External"/><Relationship Id="rId1600" Type="http://schemas.openxmlformats.org/officeDocument/2006/relationships/hyperlink" Target="https://media.istockphoto.com/id/1143439122/photo/aerial-pedestrian-crowd-crossing-top-view.jpg?s=612x612&amp;w=0&amp;k=20&amp;c=r-nP1jEDXcx8I6iz4uv_H6zR0bw3LvJY1spadPxTYVE=" TargetMode="External"/><Relationship Id="rId1838" Type="http://schemas.openxmlformats.org/officeDocument/2006/relationships/hyperlink" Target="https://encrypted-tbn0.gstatic.com/images?q=tbn:ANd9GcQ1FWtGivGZo1cG6g6FWzJCOHl85yd0idlUSw&amp;s" TargetMode="External"/><Relationship Id="rId181" Type="http://schemas.openxmlformats.org/officeDocument/2006/relationships/hyperlink" Target="https://st4.depositphotos.com/5675252/22611/i/380/depositphotos_226118748-stock-photo-man-driving-car-while-eating.jpg" TargetMode="External"/><Relationship Id="rId1905" Type="http://schemas.openxmlformats.org/officeDocument/2006/relationships/hyperlink" Target="https://images.nature.com/lw1200/magazine-assets/d41586-019-00191-0/d41586-019-00191-0_16402114.jpg" TargetMode="External"/><Relationship Id="rId279" Type="http://schemas.openxmlformats.org/officeDocument/2006/relationships/hyperlink" Target="https://images.pexels.com/photos/16352748/pexels-photo-16352748.jpeg" TargetMode="External"/><Relationship Id="rId486" Type="http://schemas.openxmlformats.org/officeDocument/2006/relationships/hyperlink" Target="https://images.pexels.com/photos/31585198/pexels-photo-31585198.jpeg" TargetMode="External"/><Relationship Id="rId693" Type="http://schemas.openxmlformats.org/officeDocument/2006/relationships/hyperlink" Target="https://media.istockphoto.com/id/2156838764/photo/woman-eating-ice-cream-in-urban-setting.jpg?s=612x612&amp;w=0&amp;k=20&amp;c=xav-nGRyWU4Q4oIdN6TD0w1pSkbPLdK8sLiRuXyBiak=" TargetMode="External"/><Relationship Id="rId2167" Type="http://schemas.openxmlformats.org/officeDocument/2006/relationships/hyperlink" Target="https://i.tribune.com.pk/media/images/934725-van-1439066225/934725-van-1439066225.JPG" TargetMode="External"/><Relationship Id="rId139" Type="http://schemas.openxmlformats.org/officeDocument/2006/relationships/hyperlink" Target="https://st2.depositphotos.com/1662991/7158/i/380/depositphotos_71584357-stock-photo-couple-texting-and-driving.jpg" TargetMode="External"/><Relationship Id="rId346" Type="http://schemas.openxmlformats.org/officeDocument/2006/relationships/hyperlink" Target="https://mlazgc8qzi72.i.optimole.com/w:1080/h:1080/q:mauto/ig:avif/https:/national-claims.co.uk/wp-content/uploads/2024/03/behzad-ghaffarian-GdRI9Bh2nJo-unsplash-1.jpg" TargetMode="External"/><Relationship Id="rId553" Type="http://schemas.openxmlformats.org/officeDocument/2006/relationships/hyperlink" Target="https://www.delawareonline.com/gcdn/-mm-/85a62fc3530cf4ccf908caee8230a64765dd017b/c=879-723-3655-2292/local/-/media/2015/10/06/Wilmington/Wilmington/635797433497029497-100615-Pedestrians-SP102.JPG" TargetMode="External"/><Relationship Id="rId760" Type="http://schemas.openxmlformats.org/officeDocument/2006/relationships/hyperlink" Target="https://jbsolicitors.com.au/wp-content/uploads/2023/02/jaywalking-featured.jpg" TargetMode="External"/><Relationship Id="rId998" Type="http://schemas.openxmlformats.org/officeDocument/2006/relationships/hyperlink" Target="https://st3.depositphotos.com/1585997/31917/i/450/depositphotos_319175698-stock-photo-traffic-to-perth-central-financial.jpg" TargetMode="External"/><Relationship Id="rId1183" Type="http://schemas.openxmlformats.org/officeDocument/2006/relationships/hyperlink" Target="https://media.istockphoto.com/id/2167336094/photo/road-blocked-by-uprooted-tree-aftermath-of-severe-weather-in-poconos-forest-area.jpg?s=612x612&amp;w=0&amp;k=20&amp;c=nmN7n_ORML-fRbKqI5cii30ksjLIHoRSTVKcUyPKwhk=" TargetMode="External"/><Relationship Id="rId1390" Type="http://schemas.openxmlformats.org/officeDocument/2006/relationships/hyperlink" Target="https://media.istockphoto.com/id/159406920/photo/aerial-view-of-cars-in-traffic.jpg?s=612x612&amp;w=0&amp;k=20&amp;c=2BeXnk1EppE_mfWgYFqoXidmge0uAhSk9gl8bbtHyF8=" TargetMode="External"/><Relationship Id="rId2027" Type="http://schemas.openxmlformats.org/officeDocument/2006/relationships/hyperlink" Target="https://media.istockphoto.com/id/1289928297/photo/white-semi-trailer-truck-heading-down-a-four-lane-highway-at-dusk.jpg?s=612x612&amp;w=0&amp;k=20&amp;c=KrNejbm8JEJ4JxCzQrJp_pJezj-w--uElAIg0QrQo0c=" TargetMode="External"/><Relationship Id="rId2234" Type="http://schemas.openxmlformats.org/officeDocument/2006/relationships/hyperlink" Target="https://st5.depositphotos.com/1178490/67323/i/450/depositphotos_673238216-stock-photo-trunk-cargo-box-roof-car.jpg" TargetMode="External"/><Relationship Id="rId206" Type="http://schemas.openxmlformats.org/officeDocument/2006/relationships/hyperlink" Target="https://st2.depositphotos.com/14799452/47325/i/380/depositphotos_473251102-stock-photo-happy-woman-eating-food-drinking.jpg" TargetMode="External"/><Relationship Id="rId413" Type="http://schemas.openxmlformats.org/officeDocument/2006/relationships/hyperlink" Target="https://media.istockphoto.com/id/478525372/photo/woman-crossing-the-street-at-pedestrian-crossing.jpg?s=612x612&amp;w=0&amp;k=20&amp;c=eLWbO3l_mLfgUYDadVagNAKpeuJ_DuRFby3V8H3gqLQ=" TargetMode="External"/><Relationship Id="rId858" Type="http://schemas.openxmlformats.org/officeDocument/2006/relationships/hyperlink" Target="https://upload.wikimedia.org/wikipedia/commons/thumb/7/77/Deer_Park_Bypass_eastbound_at_Western_Ring_Road.jpg/250px-Deer_Park_Bypass_eastbound_at_Western_Ring_Road.jpg" TargetMode="External"/><Relationship Id="rId1043" Type="http://schemas.openxmlformats.org/officeDocument/2006/relationships/hyperlink" Target="https://media.istockphoto.com/id/1411145066/photo/busy-traffic-intersection-and-light-rail-bridge-shot-from-above.jpg?s=612x612&amp;w=0&amp;k=20&amp;c=l8JfgIEYie0Vhqikcck8genLfMOYBAWHw0tiAGfE_lQ=" TargetMode="External"/><Relationship Id="rId1488" Type="http://schemas.openxmlformats.org/officeDocument/2006/relationships/hyperlink" Target="https://images.unsplash.com/photo-1707179174362-2c951c1ea8d0?w=500&amp;auto=format&amp;fit=crop&amp;q=60&amp;ixlib=rb-4.1.0&amp;ixid=M3wxMjA3fDB8MHxzZWFyY2h8MjZ8fGNhciUyMGF0JTIwcmVkJTIwbGlnaHR8ZW58MHx8MHx8fDA%3D" TargetMode="External"/><Relationship Id="rId1695" Type="http://schemas.openxmlformats.org/officeDocument/2006/relationships/hyperlink" Target="https://media.istockphoto.com/id/139085335/photo/police-cars-block-traffic.jpg?s=612x612&amp;w=0&amp;k=20&amp;c=OkdUjIcQHvlfvZcGlTkWNkfX4VQLK6W10-mkxsmuTgM=" TargetMode="External"/><Relationship Id="rId620" Type="http://schemas.openxmlformats.org/officeDocument/2006/relationships/hyperlink" Target="https://lede-admin.usa.streetsblog.org/wp-content/uploads/sites/46/2021/05/Pedestrian-Arterial.jpg" TargetMode="External"/><Relationship Id="rId718" Type="http://schemas.openxmlformats.org/officeDocument/2006/relationships/hyperlink" Target="https://media.istockphoto.com/id/1625170893/photo/people-jaywalking-in-new-york-city.jpg?s=612x612&amp;w=0&amp;k=20&amp;c=mzG9kd2F9-yyGHGi69fEsARyA6TzOuJxC-qTHez8pzI=" TargetMode="External"/><Relationship Id="rId925" Type="http://schemas.openxmlformats.org/officeDocument/2006/relationships/hyperlink" Target="https://media.istockphoto.com/id/537615269/photo/double-yellow-lines-on-asphalt-road.jpg?s=612x612&amp;w=0&amp;k=20&amp;c=wsLidRjQilmn_QV-VwrJHGXAKqf1K0MdYTdE3dxxr74=" TargetMode="External"/><Relationship Id="rId1250" Type="http://schemas.openxmlformats.org/officeDocument/2006/relationships/hyperlink" Target="https://static3.depositphotos.com/1004489/180/i/380/depositphotos_1803795-stock-photo-car-accident-on-a-highway.jpg" TargetMode="External"/><Relationship Id="rId1348" Type="http://schemas.openxmlformats.org/officeDocument/2006/relationships/hyperlink" Target="https://media.istockphoto.com/id/1324873600/photo/flooded-neighborhood-streets-in-fort-lauderdale-florida-usa.jpg?s=612x612&amp;w=0&amp;k=20&amp;c=LjGklTA9h5K0fuRPu1cudjRfzdEjc_1cabB-11YsutI=" TargetMode="External"/><Relationship Id="rId1555" Type="http://schemas.openxmlformats.org/officeDocument/2006/relationships/hyperlink" Target="https://media.istockphoto.com/id/159406920/photo/aerial-view-of-cars-in-traffic.jpg?s=612x612&amp;w=0&amp;k=20&amp;c=2BeXnk1EppE_mfWgYFqoXidmge0uAhSk9gl8bbtHyF8=" TargetMode="External"/><Relationship Id="rId1762" Type="http://schemas.openxmlformats.org/officeDocument/2006/relationships/hyperlink" Target="https://content.api.news/v3/images/bin/f00be14e21f7d2e52bc4078c0d8bef4b" TargetMode="External"/><Relationship Id="rId2301" Type="http://schemas.openxmlformats.org/officeDocument/2006/relationships/hyperlink" Target="https://images.unsplash.com/photo-1559724777-252ff7ea187f?w=400&amp;auto=format&amp;fit=crop&amp;q=60&amp;ixlib=rb-4.1.0&amp;ixid=M3wxMjA3fDB8MHxwaG90by1yZWxhdGVkfDJ8fHxlbnwwfHx8fHw%3D" TargetMode="External"/><Relationship Id="rId1110" Type="http://schemas.openxmlformats.org/officeDocument/2006/relationships/hyperlink" Target="https://media.istockphoto.com/id/1324873600/photo/flooded-neighborhood-streets-in-fort-lauderdale-florida-usa.jpg?s=612x612&amp;w=0&amp;k=20&amp;c=LjGklTA9h5K0fuRPu1cudjRfzdEjc_1cabB-11YsutI=" TargetMode="External"/><Relationship Id="rId1208" Type="http://schemas.openxmlformats.org/officeDocument/2006/relationships/hyperlink" Target="https://media.istockphoto.com/id/941160696/photo/potholes-on-a-paved-road.jpg?s=612x612&amp;w=0&amp;k=20&amp;c=r3cMwK6Yfj1pCE_itggsAq7V8jsFYjFmS3912Cyry_Y=" TargetMode="External"/><Relationship Id="rId1415" Type="http://schemas.openxmlformats.org/officeDocument/2006/relationships/hyperlink" Target="https://media.istockphoto.com/id/1219457616/photo/hwy-sy-west-dist-2-bridge-jam.jpg?s=1024x1024&amp;w=is&amp;k=20&amp;c=i-gmb0ZHC6UiaJPTlm_wXVYd3nBsHqKevm8Jyhbex-o=" TargetMode="External"/><Relationship Id="rId54" Type="http://schemas.openxmlformats.org/officeDocument/2006/relationships/hyperlink" Target="https://st2.depositphotos.com/3947277/5734/i/380/depositphotos_57340311-stock-photo-african-woman-stuck-in-traffic.jpg" TargetMode="External"/><Relationship Id="rId1622" Type="http://schemas.openxmlformats.org/officeDocument/2006/relationships/hyperlink" Target="https://content.api.news/v3/images/bin/f00be14e21f7d2e52bc4078c0d8bef4b" TargetMode="External"/><Relationship Id="rId1927" Type="http://schemas.openxmlformats.org/officeDocument/2006/relationships/hyperlink" Target="https://live.staticflickr.com/65535/52119191050_87bb9652b4_z.jpg" TargetMode="External"/><Relationship Id="rId2091" Type="http://schemas.openxmlformats.org/officeDocument/2006/relationships/hyperlink" Target="https://plus.unsplash.com/premium_photo-1664695710271-3b7a08fb6d38?w=400&amp;auto=format&amp;fit=crop&amp;q=60&amp;ixlib=rb-4.1.0&amp;ixid=M3wxMjA3fDB8MHxwaG90by1yZWxhdGVkfDE2fHx8ZW58MHx8fHx8" TargetMode="External"/><Relationship Id="rId2189" Type="http://schemas.openxmlformats.org/officeDocument/2006/relationships/hyperlink" Target="https://st.depositphotos.com/1019221/1212/i/450/depositphotos_12121958-stock-photo-africa.jpg" TargetMode="External"/><Relationship Id="rId270" Type="http://schemas.openxmlformats.org/officeDocument/2006/relationships/hyperlink" Target="https://st5.depositphotos.com/4218696/67112/i/380/depositphotos_671121532-stock-photo-distracted-driving-concept-shocked-scared.jpg" TargetMode="External"/><Relationship Id="rId130" Type="http://schemas.openxmlformats.org/officeDocument/2006/relationships/hyperlink" Target="https://encrypted-tbn0.gstatic.com/images?q=tbn:ANd9GcSbHxmvukcBzqFL3TrMnmgyM0Wo56WFjrDWJg&amp;s" TargetMode="External"/><Relationship Id="rId368" Type="http://schemas.openxmlformats.org/officeDocument/2006/relationships/hyperlink" Target="https://www.shutterstock.com/shutterstock/photos/285654479/display_1500/stock-photo-woman-crossing-the-street-at-a-pedestrian-crossing-285654479.jpg" TargetMode="External"/><Relationship Id="rId575" Type="http://schemas.openxmlformats.org/officeDocument/2006/relationships/hyperlink" Target="https://media.istockphoto.com/id/930104238/photo/young-woman-looks-at-her-cellphone-and-does-not-pay-attention-to-traffic.jpg?s=612x612&amp;w=0&amp;k=20&amp;c=PFeGpUcjBVvIC2Tgr8IeVDxiiwmol6Zb9F1f_yc-zuc=" TargetMode="External"/><Relationship Id="rId782" Type="http://schemas.openxmlformats.org/officeDocument/2006/relationships/hyperlink" Target="https://media.istockphoto.com/id/539243306/photo/cheerful-young-woman-standing-on-street-and-talking-at-phone.jpg?s=612x612&amp;w=0&amp;k=20&amp;c=lXkF2SFIouc_-uimeMmBvjsIR7_MFCHAveAaGZDutmQ=" TargetMode="External"/><Relationship Id="rId2049" Type="http://schemas.openxmlformats.org/officeDocument/2006/relationships/hyperlink" Target="https://c8.alamy.com/comp/C4053X/dover-port-aerial-view-trucks-lorries-trailers-queuing-below-gantry-C4053X.jpg" TargetMode="External"/><Relationship Id="rId2256" Type="http://schemas.openxmlformats.org/officeDocument/2006/relationships/hyperlink" Target="https://st3.depositphotos.com/29384342/33526/i/450/depositphotos_335266756-stock-photo-car-desert.jpg" TargetMode="External"/><Relationship Id="rId228" Type="http://schemas.openxmlformats.org/officeDocument/2006/relationships/hyperlink" Target="https://st5.depositphotos.com/1192060/65935/i/380/depositphotos_659354892-stock-photo-woman-putting-lipstick-while-steering.jpg" TargetMode="External"/><Relationship Id="rId435" Type="http://schemas.openxmlformats.org/officeDocument/2006/relationships/hyperlink" Target="https://media.istockphoto.com/id/1288149637/photo/young-happy-intercultural-friends-having-drinks-and-talking-while-crossing-road.jpg?s=612x612&amp;w=0&amp;k=20&amp;c=4eYg7B05aIBl2nF6hPlUJEniQuOMQZKj4ZWt93FZoIo=" TargetMode="External"/><Relationship Id="rId642" Type="http://schemas.openxmlformats.org/officeDocument/2006/relationships/hyperlink" Target="https://toolkit.irap.org/wp-content/uploads/2022/02/Pedestrians-cross-a-busy-multilane-road-underneath-a-pedestrian-bridge-in-China.-Credit-iRAP-2-scaled.jpg" TargetMode="External"/><Relationship Id="rId1065" Type="http://schemas.openxmlformats.org/officeDocument/2006/relationships/hyperlink" Target="https://media.istockphoto.com/id/137302464/photo/the-aftermath-of-severe-weather-on-a-road.jpg?s=612x612&amp;w=0&amp;k=20&amp;c=xVr4hrNYfL9VArNOT7tm-Ixxn6M4soWGMZsdOv4IF8A=" TargetMode="External"/><Relationship Id="rId1272" Type="http://schemas.openxmlformats.org/officeDocument/2006/relationships/hyperlink" Target="https://static6.depositphotos.com/1003512/579/i/380/depositphotos_5792291-stock-photo-calves-on-the-road.jpg" TargetMode="External"/><Relationship Id="rId2116" Type="http://schemas.openxmlformats.org/officeDocument/2006/relationships/hyperlink" Target="https://st4.depositphotos.com/5764720/31101/i/450/depositphotos_311015906-stock-photo-funny-horse-transport-carriage-horses.jpg" TargetMode="External"/><Relationship Id="rId2323" Type="http://schemas.openxmlformats.org/officeDocument/2006/relationships/hyperlink" Target="https://images.freeimages.com/images/large-previews/ccd/overload-1253409.jpg?fmt=webp&amp;w=500" TargetMode="External"/><Relationship Id="rId502" Type="http://schemas.openxmlformats.org/officeDocument/2006/relationships/hyperlink" Target="https://media.istockphoto.com/id/1272681505/photo/school-girl-crossing-the-street.jpg?s=612x612&amp;w=0&amp;k=20&amp;c=McPuVPjcC45e80P0VISfcCwUqmDSkhUAsv-21YOQiP0=" TargetMode="External"/><Relationship Id="rId947" Type="http://schemas.openxmlformats.org/officeDocument/2006/relationships/hyperlink" Target="https://media.istockphoto.com/id/1226412091/photo/circular-quay-ferry-terminal-emptied.jpg?s=612x612&amp;w=0&amp;k=20&amp;c=megYWF8JZ1wUV0Yu9WuT1TA9CwBuKkYL8cmJV8A6heg=" TargetMode="External"/><Relationship Id="rId1132" Type="http://schemas.openxmlformats.org/officeDocument/2006/relationships/hyperlink" Target="https://content.api.news/v3/images/bin/3b54220bb188309e82871d0c9311c2de" TargetMode="External"/><Relationship Id="rId1577" Type="http://schemas.openxmlformats.org/officeDocument/2006/relationships/hyperlink" Target="https://media.istockphoto.com/id/2144172069/photo/traffic-and-traffic-signs-on-freeway.jpg?s=612x612&amp;w=0&amp;k=20&amp;c=EaL-uNILc37VMPAc67tzbzv2cJYH48_ZJlvVmO5tIlo=" TargetMode="External"/><Relationship Id="rId1784" Type="http://schemas.openxmlformats.org/officeDocument/2006/relationships/hyperlink" Target="https://encrypted-tbn0.gstatic.com/images?q=tbn:ANd9GcQblo3PT9wfa9c0pHNglOvp5CZ0-D-xq98YJWlhJ1XPebZgIv9KnT0rNQ2GoJTI6LUc16w&amp;usqp=CAU" TargetMode="External"/><Relationship Id="rId1991" Type="http://schemas.openxmlformats.org/officeDocument/2006/relationships/hyperlink" Target="https://media.istockphoto.com/id/648217724/photo/car-with-kayak-on-top-roof.jpg?s=612x612&amp;w=0&amp;k=20&amp;c=kY9-NNW_ms7GPwUZ0bUdBLrPKh3WIkTzjlsUVuZMj8A=" TargetMode="External"/><Relationship Id="rId76" Type="http://schemas.openxmlformats.org/officeDocument/2006/relationships/hyperlink" Target="https://media.istockphoto.com/id/586357672/photo/texting-and-driving-wreck-hitting-pedestrian.jpg?s=612x612&amp;w=0&amp;k=20&amp;c=4E5fpk5OP0W1V5h6Aak7iBk2wXj6_OojcoNRcQj2xzs=" TargetMode="External"/><Relationship Id="rId807" Type="http://schemas.openxmlformats.org/officeDocument/2006/relationships/hyperlink" Target="https://encrypted-tbn0.gstatic.com/images?q=tbn:ANd9GcTyE00T0Eh_DC3friBH57sxVnatahu4GmU5_g&amp;s" TargetMode="External"/><Relationship Id="rId1437" Type="http://schemas.openxmlformats.org/officeDocument/2006/relationships/hyperlink" Target="https://media.istockphoto.com/id/1474796515/photo/putting-on-safety-seatbelt.jpg?s=612x612&amp;w=0&amp;k=20&amp;c=7El5OS_c-zabjcuWndVGMuMnThVPsw_LJ1Sy-1qUCsI=" TargetMode="External"/><Relationship Id="rId1644" Type="http://schemas.openxmlformats.org/officeDocument/2006/relationships/hyperlink" Target="https://learndrivesurvive.com.au/wp-content/uploads/2017/09/hazards-perception-skills.jpg" TargetMode="External"/><Relationship Id="rId1851" Type="http://schemas.openxmlformats.org/officeDocument/2006/relationships/hyperlink" Target="https://media.istockphoto.com/id/1252790465/photo/truck-with-refrigerated-semi-trailer.jpg?s=612x612&amp;w=0&amp;k=20&amp;c=waeG6Akro2uPxdGve8ghlrTqBlca0r6UVxrNMtcAB3M=" TargetMode="External"/><Relationship Id="rId1504" Type="http://schemas.openxmlformats.org/officeDocument/2006/relationships/hyperlink" Target="https://media.istockphoto.com/id/857615658/photo/city-traffic-detroit-michigan.jpg?s=612x612&amp;w=0&amp;k=20&amp;c=SQQzgvaB_encu2adj2Uge5pMAGKlA8A1th1KaUTPJNw=" TargetMode="External"/><Relationship Id="rId1711" Type="http://schemas.openxmlformats.org/officeDocument/2006/relationships/hyperlink" Target="https://media.istockphoto.com/id/2161543642/photo/running-yellow-lights.webp?s=1024x1024&amp;w=is&amp;k=20&amp;c=FoZ9Ge1jeI5APSlvM03RZFFWZZPYo1QnGUhKEvlIzbo=" TargetMode="External"/><Relationship Id="rId1949" Type="http://schemas.openxmlformats.org/officeDocument/2006/relationships/hyperlink" Target="https://st.depositphotos.com/1005951/55322/i/450/depositphotos_553222338-stock-photo-large-roof-box-storage-red.jpg" TargetMode="External"/><Relationship Id="rId292" Type="http://schemas.openxmlformats.org/officeDocument/2006/relationships/hyperlink" Target="https://www.legalexaminer.com/wp-content/claris-images-uploads/pedestrian-crossing@large.jpg" TargetMode="External"/><Relationship Id="rId1809" Type="http://schemas.openxmlformats.org/officeDocument/2006/relationships/hyperlink" Target="https://bicyclensw.org.au/wp-content/uploads/2020/01/Door-Zone_600x400.png" TargetMode="External"/><Relationship Id="rId597" Type="http://schemas.openxmlformats.org/officeDocument/2006/relationships/hyperlink" Target="https://st4.depositphotos.com/21607914/23781/i/380/depositphotos_237818180-stock-photo-file-chinese-jaywalkers-walk-road.jpg" TargetMode="External"/><Relationship Id="rId2180" Type="http://schemas.openxmlformats.org/officeDocument/2006/relationships/hyperlink" Target="https://terrysamui.wordpress.com/wp-content/uploads/2017/01/overloaded-driving-cars-motorcycles-vans-trucks-pick-ups-samui-thailand-funny-strange-unusual-18.jpg" TargetMode="External"/><Relationship Id="rId2278" Type="http://schemas.openxmlformats.org/officeDocument/2006/relationships/hyperlink" Target="https://images.unsplash.com/photo-1625565141751-8742de0ee1ff?w=400&amp;auto=format&amp;fit=crop&amp;q=60&amp;ixlib=rb-4.1.0&amp;ixid=M3wxMjA3fDB8MHxwaG90by1yZWxhdGVkfDE0fHx8ZW58MHx8fHx8" TargetMode="External"/><Relationship Id="rId152" Type="http://schemas.openxmlformats.org/officeDocument/2006/relationships/hyperlink" Target="https://images.pexels.com/photos/8387455/pexels-photo-8387455.jpeg" TargetMode="External"/><Relationship Id="rId457" Type="http://schemas.openxmlformats.org/officeDocument/2006/relationships/hyperlink" Target="https://images.unsplash.com/photo-1644534226441-9078b613c3ec?w=500&amp;auto=format&amp;fit=crop&amp;q=60&amp;ixlib=rb-4.1.0&amp;ixid=M3wxMjA3fDB8MHxzZWFyY2h8MTl8fHBlZGVzdHJpYW4lMjB3YWxraW5nJTIwc2FmZXxlbnwwfHwwfHx8MA%3D%3D" TargetMode="External"/><Relationship Id="rId1087" Type="http://schemas.openxmlformats.org/officeDocument/2006/relationships/hyperlink" Target="https://media.istockphoto.com/id/157527693/photo/traffic-accident.jpg?s=612x612&amp;w=0&amp;k=20&amp;c=VkJmDeJjvcUzWkR75Axc786TzY1hNkmPaQqKP6PVW84=" TargetMode="External"/><Relationship Id="rId1294" Type="http://schemas.openxmlformats.org/officeDocument/2006/relationships/hyperlink" Target="https://st.depositphotos.com/1730665/1247/i/380/depositphotos_12478046-stock-photo-australia-victoria-great-ocean-road.jpg" TargetMode="External"/><Relationship Id="rId2040" Type="http://schemas.openxmlformats.org/officeDocument/2006/relationships/hyperlink" Target="https://media.istockphoto.com/id/1423325870/photo/tow-truck-transportation.jpg?s=612x612&amp;w=0&amp;k=20&amp;c=EeLFErlEi3n7k9Yfn_Gcuja6cJwf41ISci3q8f6HVuw=" TargetMode="External"/><Relationship Id="rId2138" Type="http://schemas.openxmlformats.org/officeDocument/2006/relationships/hyperlink" Target="https://encrypted-tbn0.gstatic.com/images?q=tbn:ANd9GcRt8AZ6bg6Uws0AjZQdGVrJFoPHUW2c2mGsJw&amp;s" TargetMode="External"/><Relationship Id="rId664" Type="http://schemas.openxmlformats.org/officeDocument/2006/relationships/hyperlink" Target="https://images.unsplash.com/photo-1642761503017-c1744e5da6ac?w=500&amp;auto=format&amp;fit=crop&amp;q=60&amp;ixlib=rb-4.1.0&amp;ixid=M3wxMjA3fDB8MHxzZWFyY2h8ODd8fHBlZGVzdHJpYW4lMjB3YWxraW5nJTIwZ3JlZW4lMjBsaWdodHxlbnwwfHwwfHx8MA%3D%3D" TargetMode="External"/><Relationship Id="rId871" Type="http://schemas.openxmlformats.org/officeDocument/2006/relationships/hyperlink" Target="https://images.unsplash.com/photo-1589828155685-83225f7d91f3?fm=jpg&amp;q=60&amp;w=3000&amp;ixlib=rb-4.1.0&amp;ixid=M3wxMjA3fDB8MHxzZWFyY2h8Mnx8cm9hZCUyMHdpdGglMjBjYXJzfGVufDB8fDB8fHww" TargetMode="External"/><Relationship Id="rId969" Type="http://schemas.openxmlformats.org/officeDocument/2006/relationships/hyperlink" Target="https://st.depositphotos.com/6570854/53660/i/450/depositphotos_536607132-stock-photo-roads-australia-victoria-suburb-melbourne.jpg" TargetMode="External"/><Relationship Id="rId1599" Type="http://schemas.openxmlformats.org/officeDocument/2006/relationships/hyperlink" Target="https://www.hikvision.com/content/dam/hikvision/en/marketing/image/solution/solutions-by-industry/traffic/traffic-violation-management/1-reducing-enforcement-disputes.jpg" TargetMode="External"/><Relationship Id="rId2345" Type="http://schemas.openxmlformats.org/officeDocument/2006/relationships/hyperlink" Target="https://worksafetci.com/wp-content/uploads/shutterstock_2177448265.jpg" TargetMode="External"/><Relationship Id="rId317" Type="http://schemas.openxmlformats.org/officeDocument/2006/relationships/hyperlink" Target="https://st2.depositphotos.com/1609055/7563/i/380/depositphotos_75638043-stock-photo-young-woman-crossing-road.jpg" TargetMode="External"/><Relationship Id="rId524" Type="http://schemas.openxmlformats.org/officeDocument/2006/relationships/hyperlink" Target="https://media.istockphoto.com/id/1413416031/photo/teenage-schoolchildren-a-boy-and-a-girl-cross-the-road-at-a-pedestrian-crossing.jpg?s=612x612&amp;w=0&amp;k=20&amp;c=ebA0Ov20ZXTXYc5BbYuW9RGwJaDnmWEdnNF2lQbFlWc=" TargetMode="External"/><Relationship Id="rId731" Type="http://schemas.openxmlformats.org/officeDocument/2006/relationships/hyperlink" Target="https://media.istockphoto.com/id/1086855128/photo/shopping-street-melbourne-australia.jpg?s=612x612&amp;w=0&amp;k=20&amp;c=OmP0emjl1yAc9cJzIqLosa8CC6BsZTJgiXHh6rHg7Yo=" TargetMode="External"/><Relationship Id="rId1154" Type="http://schemas.openxmlformats.org/officeDocument/2006/relationships/hyperlink" Target="https://media.istockphoto.com/id/929942316/photo/old-highway-with-holes-and-snow-landscape-road-potholes-in-cloudy-winter-weather-concept.jpg?s=612x612&amp;w=0&amp;k=20&amp;c=ZtK8wJgXLQYEWGMJVGeyZBqVPKsdHMQlml1Vx8i17aw=" TargetMode="External"/><Relationship Id="rId1361" Type="http://schemas.openxmlformats.org/officeDocument/2006/relationships/hyperlink" Target="https://media.istockphoto.com/id/1474796515/photo/putting-on-safety-seatbelt.jpg?s=612x612&amp;w=0&amp;k=20&amp;c=7El5OS_c-zabjcuWndVGMuMnThVPsw_LJ1Sy-1qUCsI=" TargetMode="External"/><Relationship Id="rId1459" Type="http://schemas.openxmlformats.org/officeDocument/2006/relationships/hyperlink" Target="https://media.istockphoto.com/id/513106144/photo/traffic-on-highway-with-cars.jpg?s=612x612&amp;w=0&amp;k=20&amp;c=dXm6BH6TnIHFu202PlQJNdM12lZQBt11Tkbqx85rHdQ=" TargetMode="External"/><Relationship Id="rId2205" Type="http://schemas.openxmlformats.org/officeDocument/2006/relationships/hyperlink" Target="https://st.depositphotos.com/1035123/3056/i/450/depositphotos_30568385-stock-photo-truck-overloaded-with-rice-sacks.jpg" TargetMode="External"/><Relationship Id="rId98" Type="http://schemas.openxmlformats.org/officeDocument/2006/relationships/hyperlink" Target="https://lh5.googleusercontent.com/y9o_BIcSyYxMONRHr8zx58hUr4Hjlj3in_9pHGaKDTSERFpVk-Y61wpqsD6O5KSdK_Xix4aQ076yOvTpnRtjyDAnXdrJ--QNzoVS21A_nBDXOggRcJkoIC0OQpbdgdewbg" TargetMode="External"/><Relationship Id="rId829" Type="http://schemas.openxmlformats.org/officeDocument/2006/relationships/hyperlink" Target="https://media.istockphoto.com/id/1159476981/photo/panoramic-mountain-road.jpg?s=612x612&amp;w=0&amp;k=20&amp;c=dzwyML72TB5X_Xrb31f0TyvIUBh7fyrrFbyNiY4mBPY=" TargetMode="External"/><Relationship Id="rId1014" Type="http://schemas.openxmlformats.org/officeDocument/2006/relationships/hyperlink" Target="https://static8.depositphotos.com/1421348/902/i/450/depositphotos_9023272-stock-photo-road-in-the-city.jpg" TargetMode="External"/><Relationship Id="rId1221" Type="http://schemas.openxmlformats.org/officeDocument/2006/relationships/hyperlink" Target="https://media.istockphoto.com/id/1688511727/photo/pothole-on-asphalt-road-filled-with-water.jpg?s=612x612&amp;w=0&amp;k=20&amp;c=HA4osRHz_nzftv_rA2amuJG90o5G1fQ66W4BxbS1IVE=" TargetMode="External"/><Relationship Id="rId1666" Type="http://schemas.openxmlformats.org/officeDocument/2006/relationships/hyperlink" Target="https://images.tribuneindia.com/cms/gall_content/2015/9/2015_9$largeimg15_Tuesday_2015_230629386.jpg" TargetMode="External"/><Relationship Id="rId1873" Type="http://schemas.openxmlformats.org/officeDocument/2006/relationships/hyperlink" Target="https://plus.unsplash.com/premium_photo-1661964199430-3e49c575b0b0?w=400&amp;auto=format&amp;fit=crop&amp;q=60&amp;ixlib=rb-4.1.0&amp;ixid=M3wxMjA3fDB8MHxwaG90by1yZWxhdGVkfDQ0fHx8ZW58MHx8fHx8" TargetMode="External"/><Relationship Id="rId1319" Type="http://schemas.openxmlformats.org/officeDocument/2006/relationships/hyperlink" Target="https://media.istockphoto.com/id/92809152/photo/kangaroo-crossing-in-front-of-a-sign.jpg?s=612x612&amp;w=0&amp;k=20&amp;c=YVAYDEuESIp-Dbi7snyZHosiKr9wdIfYZk58inkDNU8=" TargetMode="External"/><Relationship Id="rId1526" Type="http://schemas.openxmlformats.org/officeDocument/2006/relationships/hyperlink" Target="https://www.smartdrivetest.com/wp-content/uploads/2016/10/left_turning.png" TargetMode="External"/><Relationship Id="rId1733" Type="http://schemas.openxmlformats.org/officeDocument/2006/relationships/hyperlink" Target="https://www.austockphoto.com.au/imgcache/uploads/photos/compressed/cars-driving-through-traffic-lights-on-busy-urban-street-in-daytime-austockphoto-000044098.jpg" TargetMode="External"/><Relationship Id="rId1940" Type="http://schemas.openxmlformats.org/officeDocument/2006/relationships/hyperlink" Target="https://media.istockphoto.com/id/1279199341/photo/icefields-parkway-adventure-canadian-rockies-alberta-canada.jpg?s=612x612&amp;w=0&amp;k=20&amp;c=W9RjbAXCzJtWRo_I4BXDfybgoxS344jpfmNf4bjoZdE=" TargetMode="External"/><Relationship Id="rId25" Type="http://schemas.openxmlformats.org/officeDocument/2006/relationships/hyperlink" Target="https://images.pexels.com/photos/6529871/pexels-photo-6529871.jpeg" TargetMode="External"/><Relationship Id="rId1800" Type="http://schemas.openxmlformats.org/officeDocument/2006/relationships/hyperlink" Target="https://images.thewest.com.au/publication/B88718076Z/1516244737073_GMH1DTA9G.1-0.jpg?imwidth=810&amp;impolicy=wan_v3" TargetMode="External"/><Relationship Id="rId174" Type="http://schemas.openxmlformats.org/officeDocument/2006/relationships/hyperlink" Target="https://st2.depositphotos.com/1236925/8010/i/380/depositphotos_80101804-stock-photo-young-man-driving-his-car.jpg" TargetMode="External"/><Relationship Id="rId381" Type="http://schemas.openxmlformats.org/officeDocument/2006/relationships/hyperlink" Target="https://c8.alamy.com/comp/2B7MNR0/berlin-germany-januari-1-2020-people-stand-on-a-pedestrian-crossing-the-green-light-on-the-traffic-light-2B7MNR0.jpg" TargetMode="External"/><Relationship Id="rId2062" Type="http://schemas.openxmlformats.org/officeDocument/2006/relationships/hyperlink" Target="https://cdn.pixabay.com/photo/2017/09/17/14/17/truck-2758534_640.jpg" TargetMode="External"/><Relationship Id="rId241" Type="http://schemas.openxmlformats.org/officeDocument/2006/relationships/hyperlink" Target="https://st5.depositphotos.com/82627138/78110/i/380/depositphotos_781109856-stock-photo-businesswoman-putting-makeup-while-sitting.jpg" TargetMode="External"/><Relationship Id="rId479" Type="http://schemas.openxmlformats.org/officeDocument/2006/relationships/hyperlink" Target="https://images.unsplash.com/photo-1623029861914-bd883be5969e?w=500&amp;auto=format&amp;fit=crop&amp;q=60&amp;ixlib=rb-4.1.0&amp;ixid=M3wxMjA3fDB8MHxzZWFyY2h8MTIyfHxwZWRlc3RyaWFuJTIwd2Fsa2luZyUyMGdyZWVuJTIwbGlnaHR8ZW58MHx8MHx8fDA%3D" TargetMode="External"/><Relationship Id="rId686" Type="http://schemas.openxmlformats.org/officeDocument/2006/relationships/hyperlink" Target="https://media.istockphoto.com/id/1212510558/photo/woman-in-green-dress-crossing-street-using-mobile-phone.jpg?s=612x612&amp;w=0&amp;k=20&amp;c=OgaBpsU17t0JuXeFfjJxlF7fEDOQz470_-HKro8siZc=" TargetMode="External"/><Relationship Id="rId893" Type="http://schemas.openxmlformats.org/officeDocument/2006/relationships/hyperlink" Target="https://st4.depositphotos.com/28951978/31584/i/450/depositphotos_315843620-stock-photo-road-highway-signs.jpg" TargetMode="External"/><Relationship Id="rId339" Type="http://schemas.openxmlformats.org/officeDocument/2006/relationships/hyperlink" Target="https://images.unsplash.com/photo-1698374081634-cae02713b1a6?w=500&amp;auto=format&amp;fit=crop&amp;q=60&amp;ixlib=rb-4.1.0&amp;ixid=M3wxMjA3fDB8MHxzZWFyY2h8MTIwfHxwZWRlc3RyaWFuJTIwd2Fsa2luZyUyMGdyZWVuJTIwbGlnaHR8ZW58MHx8MHx8fDA%3D" TargetMode="External"/><Relationship Id="rId546" Type="http://schemas.openxmlformats.org/officeDocument/2006/relationships/hyperlink" Target="https://images.unsplash.com/photo-1530261316168-757e4c267137?w=500&amp;auto=format&amp;fit=crop&amp;q=60&amp;ixlib=rb-4.1.0&amp;ixid=M3wxMjA3fDB8MHxwaG90by1yZWxhdGVkfDE1fHx8ZW58MHx8fHx8" TargetMode="External"/><Relationship Id="rId753" Type="http://schemas.openxmlformats.org/officeDocument/2006/relationships/hyperlink" Target="https://encrypted-tbn0.gstatic.com/images?q=tbn:ANd9GcSvCQ2QfrPj0e0zIxf9oEcu_GXz_JtmnWdcZr95X7Rv4hr5ELi3JOYrZBkFmW76gPRyZdw&amp;usqp=CAU" TargetMode="External"/><Relationship Id="rId1176" Type="http://schemas.openxmlformats.org/officeDocument/2006/relationships/hyperlink" Target="https://media.istockphoto.com/id/1153263086/photo/tree-that-fell-after-a-storm-in-the-urban-area-old-tree-trunk-fallen-in-the-city.jpg?s=612x612&amp;w=0&amp;k=20&amp;c=Zy1KLvINV7yWoT-Wek9fgd5lUwxo6nV3RN6_ZwbxadI=" TargetMode="External"/><Relationship Id="rId1383" Type="http://schemas.openxmlformats.org/officeDocument/2006/relationships/hyperlink" Target="https://www.smartdrivetest.com/wp-content/uploads/2016/10/left_turning.png" TargetMode="External"/><Relationship Id="rId2227" Type="http://schemas.openxmlformats.org/officeDocument/2006/relationships/hyperlink" Target="https://st4.depositphotos.com/7149852/30947/i/450/depositphotos_309477912-stock-photo-modern-car-with-luggage-box.jpg" TargetMode="External"/><Relationship Id="rId101" Type="http://schemas.openxmlformats.org/officeDocument/2006/relationships/hyperlink" Target="https://cdn.prod.website-files.com/608c6d5b8637279ee57c44d9/626263396fca14f25eb9a229_Distracted%20Driving%20feature-min.png" TargetMode="External"/><Relationship Id="rId406" Type="http://schemas.openxmlformats.org/officeDocument/2006/relationships/hyperlink" Target="https://media.istockphoto.com/id/1143981682/photo/children-next-to-a-car-walking-through-pedestrian-crossing-to-the-school.jpg?s=612x612&amp;w=0&amp;k=20&amp;c=lDXFrGAhXDy_WJPOa4sQXcGm8snIOxSGvbnXM2NCEl8=" TargetMode="External"/><Relationship Id="rId960" Type="http://schemas.openxmlformats.org/officeDocument/2006/relationships/hyperlink" Target="https://media.istockphoto.com/id/1082720986/photo/expressway-and-modern-urban-architecture-in-qiantang-river-new-town-hangzhou-china.jpg?s=612x612&amp;w=0&amp;k=20&amp;c=NgXXcxKTldhCwkS0P7ocDtkZs1Yd2pp5GNbBu1JJmdo=" TargetMode="External"/><Relationship Id="rId1036" Type="http://schemas.openxmlformats.org/officeDocument/2006/relationships/hyperlink" Target="https://media.istockphoto.com/id/1096519286/photo/inner-city-road.jpg?s=612x612&amp;w=0&amp;k=20&amp;c=JGrRLAuxUTNye8b7gYQFRPI7fpHp2L9f0YXUNKMANh0=" TargetMode="External"/><Relationship Id="rId1243" Type="http://schemas.openxmlformats.org/officeDocument/2006/relationships/hyperlink" Target="https://st.depositphotos.com/1449225/2506/i/380/depositphotos_25067809-stock-photo-cars-crashed.jpg" TargetMode="External"/><Relationship Id="rId1590" Type="http://schemas.openxmlformats.org/officeDocument/2006/relationships/hyperlink" Target="https://media.istockphoto.com/id/477707350/photo/king-street-newtown.jpg?s=612x612&amp;w=0&amp;k=20&amp;c=C8ZyJCmlcmf7h6adgIiBrZWAuNUjOzPjqAO6yfagezc=" TargetMode="External"/><Relationship Id="rId1688" Type="http://schemas.openxmlformats.org/officeDocument/2006/relationships/hyperlink" Target="https://media.istockphoto.com/id/115918871/photo/traffic-on-the-highway.jpg?s=612x612&amp;w=0&amp;k=20&amp;c=ukygLoucRNtLLEay-YuDa6hJIoFh0xGyzo8dI-VeTO8=" TargetMode="External"/><Relationship Id="rId1895" Type="http://schemas.openxmlformats.org/officeDocument/2006/relationships/hyperlink" Target="https://streetsmarts.initiatives.qld.gov.au/wp-content/uploads/2022/03/tmr_2019_TMR_Library_415.jpg" TargetMode="External"/><Relationship Id="rId613" Type="http://schemas.openxmlformats.org/officeDocument/2006/relationships/hyperlink" Target="https://www.delawareonline.com/gcdn/-mm-/85a62fc3530cf4ccf908caee8230a64765dd017b/c=879-723-3655-2292/local/-/media/2015/10/06/Wilmington/Wilmington/635797433497029497-100615-Pedestrians-SP102.JPG" TargetMode="External"/><Relationship Id="rId820" Type="http://schemas.openxmlformats.org/officeDocument/2006/relationships/hyperlink" Target="https://media.istockphoto.com/id/1364129160/photo/open-road.jpg?s=612x612&amp;w=0&amp;k=20&amp;c=wEyAJG4XnWJZ_vQ1vJZhOevnpG-BPhoXZc7yeg1oCJo=" TargetMode="External"/><Relationship Id="rId918" Type="http://schemas.openxmlformats.org/officeDocument/2006/relationships/hyperlink" Target="https://media.istockphoto.com/id/905823954/photo/australian-road-trip-motion-blur-highway-landscape-at-dusk-with-mountain-ararat.jpg?s=612x612&amp;w=0&amp;k=20&amp;c=tnGB24J1Z6xeBitRwEJZezlQYUzSTPfAc7nWixKKAjQ=" TargetMode="External"/><Relationship Id="rId1450" Type="http://schemas.openxmlformats.org/officeDocument/2006/relationships/hyperlink" Target="https://media.istockphoto.com/id/1030960660/photo/mother-turns-around-to-her-children-on-the-back-seat-of-car.jpg?s=612x612&amp;w=0&amp;k=20&amp;c=HSZB_HqQw2z6dnvlQmN_UA91pbwrepZufpYwOHM7Y1o=" TargetMode="External"/><Relationship Id="rId1548" Type="http://schemas.openxmlformats.org/officeDocument/2006/relationships/hyperlink" Target="https://images.unsplash.com/photo-1534773294507-d8090ebbcec6?w=400&amp;auto=format&amp;fit=crop&amp;q=60&amp;ixlib=rb-4.1.0&amp;ixid=M3wxMjA3fDB8MHxzZWFyY2h8Mnx8Y2FyJTIwaW4lMjBjaXR5JTIwYXVzdHJhbGlhfGVufDB8fDB8fHww" TargetMode="External"/><Relationship Id="rId1755" Type="http://schemas.openxmlformats.org/officeDocument/2006/relationships/hyperlink" Target="https://encrypted-tbn0.gstatic.com/images?q=tbn:ANd9GcQ63fE6spZHoPhZy-oYmT4ffXLGkbY50AGCGOe9TT6JD9x2gkWiCrj-mDiEm-0gW6xaivk&amp;usqp=CAU" TargetMode="External"/><Relationship Id="rId1103" Type="http://schemas.openxmlformats.org/officeDocument/2006/relationships/hyperlink" Target="https://media.istockphoto.com/id/92809152/photo/kangaroo-crossing-in-front-of-a-sign.jpg?s=612x612&amp;w=0&amp;k=20&amp;c=YVAYDEuESIp-Dbi7snyZHosiKr9wdIfYZk58inkDNU8=" TargetMode="External"/><Relationship Id="rId1310" Type="http://schemas.openxmlformats.org/officeDocument/2006/relationships/hyperlink" Target="https://st.depositphotos.com/18723914/57465/i/380/depositphotos_574652022-stock-photo-kangaroo-road-kangaroo-island-australia.jpg" TargetMode="External"/><Relationship Id="rId1408" Type="http://schemas.openxmlformats.org/officeDocument/2006/relationships/hyperlink" Target="https://media.istockphoto.com/id/1464681993/photo/man-riding-motorcycle-with-helmet.jpg?s=1024x1024&amp;w=is&amp;k=20&amp;c=Ju-dugWp0nlHvZZGBh2rdCT0djRFuQTJ6QzDIsY8eSs=" TargetMode="External"/><Relationship Id="rId1962" Type="http://schemas.openxmlformats.org/officeDocument/2006/relationships/hyperlink" Target="https://media.istockphoto.com/id/1314167846/photo/rv-caravan-camping-at-the-caravan-park-camping-vacation-travel-concept.jpg?s=612x612&amp;w=0&amp;k=20&amp;c=W1nPWWFlcZXe9a4Q8gmOuwHokfudxJol7OkQQFOQYfs=" TargetMode="External"/><Relationship Id="rId47" Type="http://schemas.openxmlformats.org/officeDocument/2006/relationships/hyperlink" Target="https://st2.depositphotos.com/1735158/6602/i/380/depositphotos_66027449-stock-photo-girl-doing-make-up-while.jpg" TargetMode="External"/><Relationship Id="rId1615" Type="http://schemas.openxmlformats.org/officeDocument/2006/relationships/hyperlink" Target="https://www.heraldnet.com/wp-content/uploads/2019/01/14686101_web1_M-Stop-Sign-EDH-190122.jpg" TargetMode="External"/><Relationship Id="rId1822" Type="http://schemas.openxmlformats.org/officeDocument/2006/relationships/hyperlink" Target="https://encrypted-tbn0.gstatic.com/images?q=tbn:ANd9GcSF4qVHsdl06ffZGNJcnTFrlzmVtIX34DvEeyaWoZDoyJGwmnKD2HcQ0h3kqOL4tOqu3lc&amp;usqp=CAU" TargetMode="External"/><Relationship Id="rId196" Type="http://schemas.openxmlformats.org/officeDocument/2006/relationships/hyperlink" Target="https://st.depositphotos.com/1116685/3497/i/380/depositphotos_34979839-stock-photo-businesswoman-drinking-coffee-while-driving.jpg" TargetMode="External"/><Relationship Id="rId2084" Type="http://schemas.openxmlformats.org/officeDocument/2006/relationships/hyperlink" Target="https://images.unsplash.com/photo-1706130578908-ffdf5ef1ae18?w=400&amp;auto=format&amp;fit=crop&amp;q=60&amp;ixlib=rb-4.1.0&amp;ixid=M3wxMjA3fDB8MHxwaG90by1yZWxhdGVkfDEwfHx8ZW58MHx8fHx8" TargetMode="External"/><Relationship Id="rId2291" Type="http://schemas.openxmlformats.org/officeDocument/2006/relationships/hyperlink" Target="https://media.istockphoto.com/id/182170895/photo/transport-of-scrap-metal-and-iron.jpg?s=612x612&amp;w=0&amp;k=20&amp;c=2i2Lyvd04SQf9753IbuzD7XTgYVVVbbVx5bAJ_f7HPk=" TargetMode="External"/><Relationship Id="rId263" Type="http://schemas.openxmlformats.org/officeDocument/2006/relationships/hyperlink" Target="https://st2.depositphotos.com/1806242/5531/i/380/depositphotos_55319041-stock-photo-young-man-reading-and-drinking.jpg" TargetMode="External"/><Relationship Id="rId470" Type="http://schemas.openxmlformats.org/officeDocument/2006/relationships/hyperlink" Target="https://images.unsplash.com/photo-1610210734809-1beaf51099c5?w=500&amp;auto=format&amp;fit=crop&amp;q=60&amp;ixlib=rb-4.1.0&amp;ixid=M3wxMjA3fDB8MHxzZWFyY2h8NzF8fHBlZGVzdHJpYW4lMjB3YWxraW5nJTIwZ3JlZW4lMjBsaWdodHxlbnwwfHwwfHx8MA%3D%3D" TargetMode="External"/><Relationship Id="rId2151" Type="http://schemas.openxmlformats.org/officeDocument/2006/relationships/hyperlink" Target="https://c8.alamy.com/comp/RMTBRR/overloaded-truck-on-a-country-road-in-rajasthan-trucks-carrying-heavy-loads-characterize-traffic-in-india-RMTBRR.jpg" TargetMode="External"/><Relationship Id="rId123" Type="http://schemas.openxmlformats.org/officeDocument/2006/relationships/hyperlink" Target="https://encrypted-tbn0.gstatic.com/images?q=tbn:ANd9GcRMFQZRfP-wYoDwRnlbwmIozvrM1nhlIkz3eA&amp;s" TargetMode="External"/><Relationship Id="rId330" Type="http://schemas.openxmlformats.org/officeDocument/2006/relationships/hyperlink" Target="https://media.istockphoto.com/id/1272681505/photo/school-girl-crossing-the-street.jpg?s=612x612&amp;w=0&amp;k=20&amp;c=McPuVPjcC45e80P0VISfcCwUqmDSkhUAsv-21YOQiP0=" TargetMode="External"/><Relationship Id="rId568" Type="http://schemas.openxmlformats.org/officeDocument/2006/relationships/hyperlink" Target="https://media.istockphoto.com/id/1404143018/photo/vertical-photo-of-women-crossing-the-street-together-while-using-a-mobile.jpg?s=612x612&amp;w=0&amp;k=20&amp;c=cnp2t6Yk-vLXLMOOMT6nsCEc2gTPVuxp25ZYUSlRWSw=" TargetMode="External"/><Relationship Id="rId775" Type="http://schemas.openxmlformats.org/officeDocument/2006/relationships/hyperlink" Target="https://media.istockphoto.com/id/1287538671/photo/crossing-the-street-at-a-pedestrian-crossing-and-looking-his-cellphone.jpg?s=612x612&amp;w=0&amp;k=20&amp;c=3LArQpBVUOczDvDP1Hz7cFnCE0MkeuC2FYxaKTuLYzY=" TargetMode="External"/><Relationship Id="rId982" Type="http://schemas.openxmlformats.org/officeDocument/2006/relationships/hyperlink" Target="https://st3.depositphotos.com/30030580/34805/i/450/depositphotos_348056820-stock-photo-the-m1-motorway-is-at.jpg" TargetMode="External"/><Relationship Id="rId1198" Type="http://schemas.openxmlformats.org/officeDocument/2006/relationships/hyperlink" Target="https://media.istockphoto.com/id/934265026/photo/road-is-paved-with-cracks-in-pits-and-puddles-from-snow-landscape-of-winter-road-in-cloudy.jpg?s=612x612&amp;w=0&amp;k=20&amp;c=QPu9-Q9e4lHW3BXYkONZ_lsT2oa-V1ALxlwJSn877Zg=" TargetMode="External"/><Relationship Id="rId2011" Type="http://schemas.openxmlformats.org/officeDocument/2006/relationships/hyperlink" Target="https://images.unsplash.com/photo-1618582948377-cd7eb0e8cb14?w=400&amp;auto=format&amp;fit=crop&amp;q=60&amp;ixlib=rb-4.1.0&amp;ixid=M3wxMjA3fDB8MHxzZWFyY2h8MjR8fHRydWNrfGVufDB8fDB8fHww" TargetMode="External"/><Relationship Id="rId2249" Type="http://schemas.openxmlformats.org/officeDocument/2006/relationships/hyperlink" Target="https://st.depositphotos.com/8272416/59368/i/450/depositphotos_593680588-stock-photo-accra-ghana-april-2022-crowded.jpg" TargetMode="External"/><Relationship Id="rId428" Type="http://schemas.openxmlformats.org/officeDocument/2006/relationships/hyperlink" Target="https://media.istockphoto.com/id/1207725287/photo/woman-with-mask-crossing-street.jpg?s=612x612&amp;w=0&amp;k=20&amp;c=mRwOSQJnl3sNw58Hp8UM9MMOqy4j6rZAv15w03yth5c=" TargetMode="External"/><Relationship Id="rId635" Type="http://schemas.openxmlformats.org/officeDocument/2006/relationships/hyperlink" Target="https://th-i.thgim.com/public/incoming/paq75q/article65863100.ece/alternates/LANDSCAPE_1200/vjkvg-ped%201.jpg" TargetMode="External"/><Relationship Id="rId842" Type="http://schemas.openxmlformats.org/officeDocument/2006/relationships/hyperlink" Target="https://st4.depositphotos.com/1585997/23461/i/450/depositphotos_234614154-stock-photo-brisbane-dec-2018-brisbane-city.jpg" TargetMode="External"/><Relationship Id="rId1058" Type="http://schemas.openxmlformats.org/officeDocument/2006/relationships/hyperlink" Target="https://www.getready.qld.gov.au/sites/default/files/styles/hero_image_desktop_basic/public/2019-09/Wolfram%20Creek%20Road%20%282%29.jpg?itok=2en5pyhX" TargetMode="External"/><Relationship Id="rId1265" Type="http://schemas.openxmlformats.org/officeDocument/2006/relationships/hyperlink" Target="https://media.istockphoto.com/id/1440579448/photo/car-crash.jpg?s=612x612&amp;w=0&amp;k=20&amp;c=Y7ruaQuUtTx2MZJbQSUKjY5UOY_gfTnSNDFNSMbJEqU=" TargetMode="External"/><Relationship Id="rId1472" Type="http://schemas.openxmlformats.org/officeDocument/2006/relationships/hyperlink" Target="https://images.unsplash.com/photo-1664391810644-6331d6780ea1?w=500&amp;auto=format&amp;fit=crop&amp;q=60&amp;ixlib=rb-4.1.0&amp;ixid=M3wxMjA3fDB8MHxzZWFyY2h8MTR8fGNhciUyMGF0JTIwcmVkJTIwbGlnaHR8ZW58MHx8MHx8fDA%3D" TargetMode="External"/><Relationship Id="rId2109" Type="http://schemas.openxmlformats.org/officeDocument/2006/relationships/hyperlink" Target="https://st2.depositphotos.com/1471096/48330/i/450/depositphotos_483307244-stock-photo-colorful-car-loaded-things-road.jpg" TargetMode="External"/><Relationship Id="rId2316" Type="http://schemas.openxmlformats.org/officeDocument/2006/relationships/hyperlink" Target="https://media.istockphoto.com/id/1347294000/photo/a-truck-filled-to-the-brim-transports-round-bales-of-hay.jpg?s=612x612&amp;w=0&amp;k=20&amp;c=PWrQJRRDk1pZ4KWHPFYQt_XNBTJ13FYAy4RhWCZ7rxU=" TargetMode="External"/><Relationship Id="rId702" Type="http://schemas.openxmlformats.org/officeDocument/2006/relationships/hyperlink" Target="https://media.istockphoto.com/id/930104238/photo/young-woman-looks-at-her-cellphone-and-does-not-pay-attention-to-traffic.jpg?s=612x612&amp;w=0&amp;k=20&amp;c=PFeGpUcjBVvIC2Tgr8IeVDxiiwmol6Zb9F1f_yc-zuc=" TargetMode="External"/><Relationship Id="rId1125" Type="http://schemas.openxmlformats.org/officeDocument/2006/relationships/hyperlink" Target="https://c8.alamy.com/comp/ARTWA5/flooded-road-traffic-cars-in-flood-waters-driving-in-flood-conditions-ARTWA5.jpg" TargetMode="External"/><Relationship Id="rId1332" Type="http://schemas.openxmlformats.org/officeDocument/2006/relationships/hyperlink" Target="https://media.istockphoto.com/id/601945516/photo/high-water-street-flooding.jpg?s=612x612&amp;w=0&amp;k=20&amp;c=V4260s88J7KjO52aK9GaZqZS6bckaQW8nlWmfNcqzMM=" TargetMode="External"/><Relationship Id="rId1777" Type="http://schemas.openxmlformats.org/officeDocument/2006/relationships/hyperlink" Target="https://images.carexpert.com.au/resize/960/-/app/uploads/2023/08/blocked-intersection-3.jpg" TargetMode="External"/><Relationship Id="rId1984" Type="http://schemas.openxmlformats.org/officeDocument/2006/relationships/hyperlink" Target="https://media.istockphoto.com/id/2155601198/photo/canoe-on-roof-top-of-car-van.jpg?s=612x612&amp;w=0&amp;k=20&amp;c=b5RIS1pVVzVSpcm51A5AqNbdhCLt_Y7BCr2EHgLVOUs=" TargetMode="External"/><Relationship Id="rId69" Type="http://schemas.openxmlformats.org/officeDocument/2006/relationships/hyperlink" Target="https://cdn.bookingtimes.com/Common/LoadImage?Id=98991&amp;v=1" TargetMode="External"/><Relationship Id="rId1637" Type="http://schemas.openxmlformats.org/officeDocument/2006/relationships/hyperlink" Target="https://encrypted-tbn0.gstatic.com/images?q=tbn:ANd9GcSF4qVHsdl06ffZGNJcnTFrlzmVtIX34DvEeyaWoZDoyJGwmnKD2HcQ0h3kqOL4tOqu3lc&amp;usqp=CAU" TargetMode="External"/><Relationship Id="rId1844" Type="http://schemas.openxmlformats.org/officeDocument/2006/relationships/hyperlink" Target="https://img.rasset.ie/00116b54-500.jpg" TargetMode="External"/><Relationship Id="rId1704" Type="http://schemas.openxmlformats.org/officeDocument/2006/relationships/hyperlink" Target="https://images.unsplash.com/photo-1663406288629-4c3a2dd0b452?q=80&amp;w=1187&amp;auto=format&amp;fit=crop&amp;ixlib=rb-4.1.0&amp;ixid=M3wxMjA3fDB8MHxwaG90by1wYWdlfHx8fGVufDB8fHx8fA%3D%3D" TargetMode="External"/><Relationship Id="rId285" Type="http://schemas.openxmlformats.org/officeDocument/2006/relationships/hyperlink" Target="https://media.istockphoto.com/id/1073413506/photo/traveling-with-my-best-friend.jpg?b=1&amp;s=612x612&amp;w=0&amp;k=20&amp;c=lvzmPaFUveIQUT6lNYrK1IIdLct2ZQZRvGrusOrcP7s=" TargetMode="External"/><Relationship Id="rId1911" Type="http://schemas.openxmlformats.org/officeDocument/2006/relationships/hyperlink" Target="https://c8.alamy.com/comp/R91MPF/big-rig-long-haul-powerful-semi-truck-with-empty-light-weight-aluminum-flat-bed-semi-trailer-running-on-the-winter-road-in-convoy-with-another-semi-tr-R91MPF.jpg" TargetMode="External"/><Relationship Id="rId492" Type="http://schemas.openxmlformats.org/officeDocument/2006/relationships/hyperlink" Target="https://media.istockphoto.com/id/478525372/photo/woman-crossing-the-street-at-pedestrian-crossing.jpg?s=612x612&amp;w=0&amp;k=20&amp;c=eLWbO3l_mLfgUYDadVagNAKpeuJ_DuRFby3V8H3gqLQ=" TargetMode="External"/><Relationship Id="rId797" Type="http://schemas.openxmlformats.org/officeDocument/2006/relationships/hyperlink" Target="https://content.api.news/v3/images/bin/67f13eb2acc18315091ae2ac07bcb666" TargetMode="External"/><Relationship Id="rId2173" Type="http://schemas.openxmlformats.org/officeDocument/2006/relationships/hyperlink" Target="https://media.istockphoto.com/id/177540596/photo/truck-travelling-on-roadway-heavily-overloaded-by-wood.jpg?s=612x612&amp;w=0&amp;k=20&amp;c=iy4LhQzbb7155A5Yl5ppMEFgAvj93G0ccIZqzPLAol0=" TargetMode="External"/><Relationship Id="rId145" Type="http://schemas.openxmlformats.org/officeDocument/2006/relationships/hyperlink" Target="https://upload.wikimedia.org/wikipedia/commons/thumb/4/42/Drinking_and_driving.jpg/960px-Drinking_and_driving.jpg" TargetMode="External"/><Relationship Id="rId352" Type="http://schemas.openxmlformats.org/officeDocument/2006/relationships/hyperlink" Target="https://azstaaldotnewseus2.blob.core.windows.net/blobaldotnewsef8d948ead1/wp-content/uploads/2024/10/pedestrian-safety-image-scaled.jpg" TargetMode="External"/><Relationship Id="rId1287" Type="http://schemas.openxmlformats.org/officeDocument/2006/relationships/hyperlink" Target="https://st.depositphotos.com/1730665/1369/i/380/depositphotos_13697119-stock-photo-the-echidna-tachyglossus-aculeatus-crosses.jpg" TargetMode="External"/><Relationship Id="rId2033" Type="http://schemas.openxmlformats.org/officeDocument/2006/relationships/hyperlink" Target="https://images.unsplash.com/photo-1721804295754-1905f69c86ad?w=400&amp;auto=format&amp;fit=crop&amp;q=60&amp;ixlib=rb-4.1.0&amp;ixid=M3wxMjA3fDB8MHxzZWFyY2h8MTF8fHRydWNrJTIwY2Fycnlpbmd8ZW58MHx8MHx8fDA%3D" TargetMode="External"/><Relationship Id="rId2240" Type="http://schemas.openxmlformats.org/officeDocument/2006/relationships/hyperlink" Target="https://st4.depositphotos.com/5764720/31101/i/450/depositphotos_311015906-stock-photo-funny-horse-transport-carriage-horses.jpg" TargetMode="External"/><Relationship Id="rId212" Type="http://schemas.openxmlformats.org/officeDocument/2006/relationships/hyperlink" Target="https://st5.depositphotos.com/1020218/67914/i/380/depositphotos_679146880-stock-photo-close-woman-using-mobile-phone.jpg" TargetMode="External"/><Relationship Id="rId657" Type="http://schemas.openxmlformats.org/officeDocument/2006/relationships/hyperlink" Target="https://media.istockphoto.com/id/930104342/photo/young-woman-looks-at-her-cellphone-and-does-not-pay-attention-to-traffic.jpg?s=612x612&amp;w=0&amp;k=20&amp;c=EykyKNFg5DrP_OmoSOgHfgn9RvCCJUx6y2DwrNhw8C8=" TargetMode="External"/><Relationship Id="rId864" Type="http://schemas.openxmlformats.org/officeDocument/2006/relationships/hyperlink" Target="https://media.istockphoto.com/id/513106144/photo/traffic-on-highway-with-cars.jpg?s=612x612&amp;w=0&amp;k=20&amp;c=dXm6BH6TnIHFu202PlQJNdM12lZQBt11Tkbqx85rHdQ=" TargetMode="External"/><Relationship Id="rId1494" Type="http://schemas.openxmlformats.org/officeDocument/2006/relationships/hyperlink" Target="https://images.unsplash.com/photo-1699447089563-7ca8dcc7cf93?w=500&amp;auto=format&amp;fit=crop&amp;q=60&amp;ixlib=rb-4.1.0&amp;ixid=M3wxMjA3fDB8MHxzZWFyY2h8NDB8fGNhciUyMGF0JTIwcmVkJTIwbGlnaHR8ZW58MHx8MHx8fDA%3D" TargetMode="External"/><Relationship Id="rId1799" Type="http://schemas.openxmlformats.org/officeDocument/2006/relationships/hyperlink" Target="https://images.thewest.com.au/publication/B88718076Z/1516244737073_GMH1DTA9G.1-0.jpg?imwidth=810&amp;impolicy=wan_v3" TargetMode="External"/><Relationship Id="rId2100" Type="http://schemas.openxmlformats.org/officeDocument/2006/relationships/hyperlink" Target="https://c8.alamy.com/comp/CXXWCW/overloaded-truck-on-the-road-to-mysore-india-CXXWCW.jpg" TargetMode="External"/><Relationship Id="rId2338" Type="http://schemas.openxmlformats.org/officeDocument/2006/relationships/hyperlink" Target="https://encrypted-tbn0.gstatic.com/images?q=tbn:ANd9GcQqTx9COrIqbcEFQ9j6fnzqbv-uxiiqULGEzx2Lp5tBTLAfF0O6D5gEAdxl2ebobFCo3kU&amp;usqp=CAU" TargetMode="External"/><Relationship Id="rId517" Type="http://schemas.openxmlformats.org/officeDocument/2006/relationships/hyperlink" Target="https://media.istockphoto.com/id/2096267867/photo/a-father-and-son-crossing-a-crosswalk-while-holding-hands.jpg?s=612x612&amp;w=0&amp;k=20&amp;c=rBgbuLnX-WOI7lsBK1Bup8pBmESpEgxIvyC7gbJJDkw=" TargetMode="External"/><Relationship Id="rId724" Type="http://schemas.openxmlformats.org/officeDocument/2006/relationships/hyperlink" Target="https://media.istockphoto.com/id/1278097812/photo/girl-crossing-the-street-while-the-stoplight-is-showing-the-red-man-pedestrian-jaywalking.jpg?s=612x612&amp;w=0&amp;k=20&amp;c=PhNm6vhD91IkWs2A37aGiCFeD7wO_nf5W2rD3W3zuQ0=" TargetMode="External"/><Relationship Id="rId931" Type="http://schemas.openxmlformats.org/officeDocument/2006/relationships/hyperlink" Target="https://media.istockphoto.com/id/1159476981/photo/panoramic-mountain-road.jpg?s=612x612&amp;w=0&amp;k=20&amp;c=dzwyML72TB5X_Xrb31f0TyvIUBh7fyrrFbyNiY4mBPY=" TargetMode="External"/><Relationship Id="rId1147" Type="http://schemas.openxmlformats.org/officeDocument/2006/relationships/hyperlink" Target="https://h7.alamy.com/comp/FJ5NH1/american-bison-buffalo-bison-bison-male-crossing-a-street-usa-wyoming-FJ5NH1.jpg" TargetMode="External"/><Relationship Id="rId1354" Type="http://schemas.openxmlformats.org/officeDocument/2006/relationships/hyperlink" Target="https://media.istockphoto.com/id/1219457616/photo/hwy-sy-west-dist-2-bridge-jam.jpg?s=1024x1024&amp;w=is&amp;k=20&amp;c=i-gmb0ZHC6UiaJPTlm_wXVYd3nBsHqKevm8Jyhbex-o=" TargetMode="External"/><Relationship Id="rId1561" Type="http://schemas.openxmlformats.org/officeDocument/2006/relationships/hyperlink" Target="https://media.istockphoto.com/id/1527377922/photo/congested-motorway-in-the-twilight.jpg?s=612x612&amp;w=0&amp;k=20&amp;c=1MDDDYhqEkGKwV4pvCjSGdMFIt6mXM7EOoECoRrg3rs=" TargetMode="External"/><Relationship Id="rId60" Type="http://schemas.openxmlformats.org/officeDocument/2006/relationships/hyperlink" Target="https://static.vecteezy.com/system/resources/previews/045/478/110/large_2x/young-woman-using-mobile-phone-while-driving-car-on-highway-road-during-sunset-womandriver-has-accident-calling-with-smartphone-for-help-business-woman-busy-driving-concept-photo.jpg" TargetMode="External"/><Relationship Id="rId1007" Type="http://schemas.openxmlformats.org/officeDocument/2006/relationships/hyperlink" Target="https://st3.depositphotos.com/30030580/34805/i/450/depositphotos_348055962-stock-photo-the-m1-motorway-is-at.jpg" TargetMode="External"/><Relationship Id="rId1214" Type="http://schemas.openxmlformats.org/officeDocument/2006/relationships/hyperlink" Target="https://media.istockphoto.com/id/618419138/photo/large-pit-on-the-old-road-in-the-winter.jpg?s=612x612&amp;w=0&amp;k=20&amp;c=-WE7kM5CHaMRQVFJYUYyq3Y3Nct20sGN43wWY3lBMmA=" TargetMode="External"/><Relationship Id="rId1421" Type="http://schemas.openxmlformats.org/officeDocument/2006/relationships/hyperlink" Target="https://www.highwaycode.com.ng/uploads/3/2/9/2/3292309/6877789.png?504" TargetMode="External"/><Relationship Id="rId1659" Type="http://schemas.openxmlformats.org/officeDocument/2006/relationships/hyperlink" Target="https://2passdd.com/Arizona-Defensive-Driving-School/wp-content/uploads/2020/08/car-in-crosswalk.jpg" TargetMode="External"/><Relationship Id="rId1866" Type="http://schemas.openxmlformats.org/officeDocument/2006/relationships/hyperlink" Target="https://media.istockphoto.com/id/648217724/photo/car-with-kayak-on-top-roof.jpg?s=612x612&amp;w=0&amp;k=20&amp;c=kY9-NNW_ms7GPwUZ0bUdBLrPKh3WIkTzjlsUVuZMj8A=" TargetMode="External"/><Relationship Id="rId1519" Type="http://schemas.openxmlformats.org/officeDocument/2006/relationships/hyperlink" Target="https://media.istockphoto.com/id/483375405/photo/car-at-red-light.jpg?s=612x612&amp;w=0&amp;k=20&amp;c=I2exUhQ61vG1-UEzPNxwxF3kimkRrM2phiy2DBUEUqs=" TargetMode="External"/><Relationship Id="rId1726" Type="http://schemas.openxmlformats.org/officeDocument/2006/relationships/hyperlink" Target="https://blogger.googleusercontent.com/img/b/R29vZ2xl/AVvXsEh9_XXl81YI8WIS6t-ThmVJ6fvM3tS9eEWg13fcQirGBThD15ffn9dZrxhD2LGEfjethGqcOJ3XEFptPRBdJ0iFa7Bz0b_HFSzEeUvJ8CFdGOnLHkswhvoCuUOxaYSbBuXALnmNeA/s1600/reddit+-+red+light+fine.png" TargetMode="External"/><Relationship Id="rId1933" Type="http://schemas.openxmlformats.org/officeDocument/2006/relationships/hyperlink" Target="https://media.istockphoto.com/id/1465157700/photo/brightly-red-colored-semi-truck-speeding-on-a-two-lane-highway-with-cars-in-background-under.jpg?s=612x612&amp;w=0&amp;k=20&amp;c=cfbbPy2ylvFGRULNLGO_Ucm-C5DsOJMFHiZBdKGsq3c=" TargetMode="External"/><Relationship Id="rId18" Type="http://schemas.openxmlformats.org/officeDocument/2006/relationships/hyperlink" Target="https://encrypted-tbn0.gstatic.com/images?q=tbn:ANd9GcSbHxmvukcBzqFL3TrMnmgyM0Wo56WFjrDWJg&amp;s" TargetMode="External"/><Relationship Id="rId2195" Type="http://schemas.openxmlformats.org/officeDocument/2006/relationships/hyperlink" Target="https://st4.depositphotos.com/22797156/24497/i/450/depositphotos_244970934-stock-photo-landscape-moroccan-desert.jpg" TargetMode="External"/><Relationship Id="rId167" Type="http://schemas.openxmlformats.org/officeDocument/2006/relationships/hyperlink" Target="https://media.istockphoto.com/id/2024952271/photo/asian-lady-holding-hamburger-and-french-fries-to-eat-in-car-dangerous-and-risk-an-accident.webp?s=2048x2048&amp;w=is&amp;k=20&amp;c=bw7NsEOEORfD3GSkyGj8xugiS-xpk5BXFyh-2TyOGrg=" TargetMode="External"/><Relationship Id="rId374" Type="http://schemas.openxmlformats.org/officeDocument/2006/relationships/hyperlink" Target="https://live.staticflickr.com/148/332498793_c691a5507e_b.jpg" TargetMode="External"/><Relationship Id="rId581" Type="http://schemas.openxmlformats.org/officeDocument/2006/relationships/hyperlink" Target="https://media.istockphoto.com/id/1278097812/photo/girl-crossing-the-street-while-the-stoplight-is-showing-the-red-man-pedestrian-jaywalking.jpg?s=612x612&amp;w=0&amp;k=20&amp;c=PhNm6vhD91IkWs2A37aGiCFeD7wO_nf5W2rD3W3zuQ0=" TargetMode="External"/><Relationship Id="rId2055" Type="http://schemas.openxmlformats.org/officeDocument/2006/relationships/hyperlink" Target="https://media.istockphoto.com/id/2210808753/photo/a-truck-loaded-with-logs-drives-under-a-cloudy-blue-sky-logistic-and-transportation-of-timber.jpg?s=612x612&amp;w=0&amp;k=20&amp;c=m6zRFPyafOsIpUgFc31YpE2s4-H2SsHfv9UbZh_uX5Y=" TargetMode="External"/><Relationship Id="rId2262" Type="http://schemas.openxmlformats.org/officeDocument/2006/relationships/hyperlink" Target="https://st5.depositphotos.com/5388620/76518/i/450/depositphotos_765183352-stock-photo-overburdened-truck-travels-highway-illustrating.jpg" TargetMode="External"/><Relationship Id="rId234" Type="http://schemas.openxmlformats.org/officeDocument/2006/relationships/hyperlink" Target="https://st5.depositphotos.com/38340270/78389/i/380/depositphotos_783890122-stock-photo-pretty-woman-her-30s-applying.jpg" TargetMode="External"/><Relationship Id="rId679" Type="http://schemas.openxmlformats.org/officeDocument/2006/relationships/hyperlink" Target="https://media.istockphoto.com/id/533502443/photo/teenager-text-messaging.jpg?s=612x612&amp;w=0&amp;k=20&amp;c=23UqlketfkmdrrOPTvDhwz_8n6JL3xoKRpJRBVTzFLU=" TargetMode="External"/><Relationship Id="rId886" Type="http://schemas.openxmlformats.org/officeDocument/2006/relationships/hyperlink" Target="https://media.istockphoto.com/id/184106933/photo/white-truck-leaving-montreal.jpg?s=612x612&amp;w=0&amp;k=20&amp;c=lgqE9qgwZF6yOKLFqtYqre2rivHfwZFE_bzM7TQ3zL8=" TargetMode="External"/><Relationship Id="rId2" Type="http://schemas.openxmlformats.org/officeDocument/2006/relationships/hyperlink" Target="https://media.gettyimages.com/id/1657434172/photo/distracted-female-driver-looking-at-passengers-phone.jpg?s=612x612&amp;w=gi&amp;k=20&amp;c=M2-qy8qa4RRCABGMmBCNWgS62bR56W9MQG7THhzqtX0=" TargetMode="External"/><Relationship Id="rId441" Type="http://schemas.openxmlformats.org/officeDocument/2006/relationships/hyperlink" Target="https://st2.depositphotos.com/1609055/7563/i/380/depositphotos_75638913-stock-photo-woman-crossing-street-at-pedestrian.jpg" TargetMode="External"/><Relationship Id="rId539" Type="http://schemas.openxmlformats.org/officeDocument/2006/relationships/hyperlink" Target="https://images.unsplash.com/photo-1727703551558-fac2cc06bf67?w=500&amp;auto=format&amp;fit=crop&amp;q=60&amp;ixlib=rb-4.1.0&amp;ixid=M3wxMjA3fDB8MHxwaG90by1yZWxhdGVkfDd8fHxlbnwwfHx8fHw%3D" TargetMode="External"/><Relationship Id="rId746" Type="http://schemas.openxmlformats.org/officeDocument/2006/relationships/hyperlink" Target="https://st4.depositphotos.com/21607914/24190/i/380/depositphotos_241900166-stock-photo-chinese-pedestrians-jaywalk-road-red.jpg" TargetMode="External"/><Relationship Id="rId1071" Type="http://schemas.openxmlformats.org/officeDocument/2006/relationships/hyperlink" Target="https://media.istockphoto.com/id/930733334/photo/old-road-potholes-holes-outside-city-autumn-weather-hdr.jpg?s=612x612&amp;w=0&amp;k=20&amp;c=hjFYMud5QkAIMdIolTIUk42TKDp0_W3pW8F1rzFMAIo=" TargetMode="External"/><Relationship Id="rId1169" Type="http://schemas.openxmlformats.org/officeDocument/2006/relationships/hyperlink" Target="https://media.istockphoto.com/id/137302464/photo/the-aftermath-of-severe-weather-on-a-road.jpg?s=612x612&amp;w=0&amp;k=20&amp;c=xVr4hrNYfL9VArNOT7tm-Ixxn6M4soWGMZsdOv4IF8A=" TargetMode="External"/><Relationship Id="rId1376" Type="http://schemas.openxmlformats.org/officeDocument/2006/relationships/hyperlink" Target="https://images.unsplash.com/photo-1574868923023-e0cb604ad557?w=500&amp;auto=format&amp;fit=crop&amp;q=60&amp;ixlib=rb-4.1.0&amp;ixid=M3wxMjA3fDB8MHxwaG90by1yZWxhdGVkfDl8fHxlbnwwfHx8fHw%3D" TargetMode="External"/><Relationship Id="rId1583" Type="http://schemas.openxmlformats.org/officeDocument/2006/relationships/hyperlink" Target="https://media.istockphoto.com/id/470842736/photo/city-highway.jpg?s=612x612&amp;w=0&amp;k=20&amp;c=tZjtatMw_Zd8mg3v6YEu9Lmr-Doo9Y1lhiUBLZnUlGM=" TargetMode="External"/><Relationship Id="rId2122" Type="http://schemas.openxmlformats.org/officeDocument/2006/relationships/hyperlink" Target="https://st5.depositphotos.com/5388620/76518/i/450/depositphotos_765183352-stock-photo-overburdened-truck-travels-highway-illustrating.jpg" TargetMode="External"/><Relationship Id="rId301" Type="http://schemas.openxmlformats.org/officeDocument/2006/relationships/hyperlink" Target="https://media.istockphoto.com/id/1457298174/photo/citizens-crossing-crowded-zebra-wide-shot.jpg?s=612x612&amp;w=0&amp;k=20&amp;c=T5VpBcBqvmb0qm92Nd8r36AiS2ArCTtgvhPN3CrBi8Y=" TargetMode="External"/><Relationship Id="rId953" Type="http://schemas.openxmlformats.org/officeDocument/2006/relationships/hyperlink" Target="https://media.istockphoto.com/id/1203937499/photo/city-road-through-modern-buildings-in-beijing.jpg?s=612x612&amp;w=0&amp;k=20&amp;c=2Mm1s2JFVVD7jv4sM4cHe8TvCe25xBe-w6W19rWzwQY=" TargetMode="External"/><Relationship Id="rId1029" Type="http://schemas.openxmlformats.org/officeDocument/2006/relationships/hyperlink" Target="https://media.istockphoto.com/id/1148591236/photo/empty-asphalt-road-with-buildings-in-the-city.jpg?s=612x612&amp;w=0&amp;k=20&amp;c=VBLu8GxlUatECihoiORQTZJtpOJc2_-pAzvS2vyGZK0=" TargetMode="External"/><Relationship Id="rId1236" Type="http://schemas.openxmlformats.org/officeDocument/2006/relationships/hyperlink" Target="https://st.depositphotos.com/3041475/4225/i/380/depositphotos_42253593-stock-photo-earthquake.jpg" TargetMode="External"/><Relationship Id="rId1790" Type="http://schemas.openxmlformats.org/officeDocument/2006/relationships/hyperlink" Target="https://carfromjapan.com/wp-content/uploads/2020/08/How-to-Stay-Centered-in-Your-Lane.jpg" TargetMode="External"/><Relationship Id="rId1888" Type="http://schemas.openxmlformats.org/officeDocument/2006/relationships/hyperlink" Target="https://media.istockphoto.com/id/1340562165/photo/a-trailer-with-hay-ready-to-be-towed-zamora-spain.jpg?s=612x612&amp;w=0&amp;k=20&amp;c=Pg1GtgJawmQLip89KgajyZtE3vivZ08CNYdF7dDhFPw=" TargetMode="External"/><Relationship Id="rId82" Type="http://schemas.openxmlformats.org/officeDocument/2006/relationships/hyperlink" Target="https://media.istockphoto.com/id/2157480611/photo/mother-and-son-behind-the-wheel-of-the-vehicle-and-speed-face-transportation-and-family.jpg?s=1024x1024&amp;w=is&amp;k=20&amp;c=4FTXONZ1lRzx3lgQeb3SDCIGUYzprDQUe6PmXshTd1w=" TargetMode="External"/><Relationship Id="rId606" Type="http://schemas.openxmlformats.org/officeDocument/2006/relationships/hyperlink" Target="https://cassisilawfirm.com/wp-content/uploads/2023/06/Pedestrian_Accident.jpg" TargetMode="External"/><Relationship Id="rId813" Type="http://schemas.openxmlformats.org/officeDocument/2006/relationships/hyperlink" Target="https://static01.nyt.com/images/2012/04/13/arts/13JPDRIVE1/13JPDRIVE1-superJumbo.jpg" TargetMode="External"/><Relationship Id="rId1443" Type="http://schemas.openxmlformats.org/officeDocument/2006/relationships/hyperlink" Target="https://media.istockphoto.com/id/877227118/photo/young-girl-is-fastening-her-seat-belt-in-a-rainy-day.jpg?s=612x612&amp;w=0&amp;k=20&amp;c=hjB3M6HRJpa_Hv9L9t5zHu1N4NChm1mdrXBWUJbEpi4=" TargetMode="External"/><Relationship Id="rId1650" Type="http://schemas.openxmlformats.org/officeDocument/2006/relationships/hyperlink" Target="https://media.istockphoto.com/id/182138065/photo/dangerous-crossing.jpg?s=612x612&amp;w=0&amp;k=20&amp;c=fBB4qAsCnRMQsjqZdrVK9q3yloKccC7WWh5CvlBb_jE=" TargetMode="External"/><Relationship Id="rId1748" Type="http://schemas.openxmlformats.org/officeDocument/2006/relationships/hyperlink" Target="https://s.yimg.com/ny/api/res/1.2/DEaCbq07ZnUKrqZa2ll90g--/YXBwaWQ9aGlnaGxhbmRlcjt3PTY0MDtoPTM0NQ--/https:/s.yimg.com/os/creatr-uploaded-images/2023-04/6f221f00-e3e0-11ed-be2e-782f0377c04c" TargetMode="External"/><Relationship Id="rId1303" Type="http://schemas.openxmlformats.org/officeDocument/2006/relationships/hyperlink" Target="https://st.depositphotos.com/18723914/57465/i/380/depositphotos_574652032-stock-photo-kangaroo-road-kangaroo-island-australia.jpg" TargetMode="External"/><Relationship Id="rId1510" Type="http://schemas.openxmlformats.org/officeDocument/2006/relationships/hyperlink" Target="https://media.istockphoto.com/id/690733780/photo/atlanta-skyline.jpg?s=612x612&amp;w=0&amp;k=20&amp;c=uFXzquNTl0noJH3clH6cYe3uzALjbqQHbRoqeGHAuCU=" TargetMode="External"/><Relationship Id="rId1955" Type="http://schemas.openxmlformats.org/officeDocument/2006/relationships/hyperlink" Target="https://media.istockphoto.com/id/1429557222/photo/caravan-travel.jpg?s=612x612&amp;w=0&amp;k=20&amp;c=7ksG9pI_rypcJtFkMKh26LLJY98FNsxt8jEVIe0RStU=" TargetMode="External"/><Relationship Id="rId1608" Type="http://schemas.openxmlformats.org/officeDocument/2006/relationships/hyperlink" Target="https://images.unsplash.com/photo-1668079061766-0d7f1c2b7996?w=500&amp;auto=format&amp;fit=crop&amp;q=60&amp;ixlib=rb-4.1.0&amp;ixid=M3wxMjA3fDB8MHxzZWFyY2h8Mjd8fGNhciUyMGF0JTIwcmVkJTIwbGlnaHR8ZW58MHx8MHx8fDA%3D" TargetMode="External"/><Relationship Id="rId1815" Type="http://schemas.openxmlformats.org/officeDocument/2006/relationships/hyperlink" Target="https://encrypted-tbn0.gstatic.com/images?q=tbn:ANd9GcRL3QJh2rgRppDgmT1c9Dkk96zAVDLAcyKptrKrIvsNWbwiU3oH_7zjIVv9RRgHnBTN4PQ&amp;usqp=CAU" TargetMode="External"/><Relationship Id="rId189" Type="http://schemas.openxmlformats.org/officeDocument/2006/relationships/hyperlink" Target="https://st4.depositphotos.com/1635543/41922/i/380/depositphotos_419223430-stock-photo-asian-woman-eating-food-fastfood.jpg" TargetMode="External"/><Relationship Id="rId396" Type="http://schemas.openxmlformats.org/officeDocument/2006/relationships/hyperlink" Target="https://media.istockphoto.com/id/1138882552/photo/crossing-in-the-rain.jpg?s=612x612&amp;w=0&amp;k=20&amp;c=y9v3epb4_qWdHWvF_aVRBW5xZ4wTWZgkqUhaG9xH3Vo=" TargetMode="External"/><Relationship Id="rId2077" Type="http://schemas.openxmlformats.org/officeDocument/2006/relationships/hyperlink" Target="https://media.istockphoto.com/id/1340562165/photo/a-trailer-with-hay-ready-to-be-towed-zamora-spain.jpg?s=612x612&amp;w=0&amp;k=20&amp;c=Pg1GtgJawmQLip89KgajyZtE3vivZ08CNYdF7dDhFPw=" TargetMode="External"/><Relationship Id="rId2284" Type="http://schemas.openxmlformats.org/officeDocument/2006/relationships/hyperlink" Target="https://images.unsplash.com/photo-1593453956714-f33d116c223c?w=400&amp;auto=format&amp;fit=crop&amp;q=60&amp;ixlib=rb-4.1.0&amp;ixid=M3wxMjA3fDB8MHxzZWFyY2h8OHx8dHJ1Y2slMjBjYXJyeWluZ3xlbnwwfHwwfHx8MA%3D%3D" TargetMode="External"/><Relationship Id="rId256" Type="http://schemas.openxmlformats.org/officeDocument/2006/relationships/hyperlink" Target="https://st5.depositphotos.com/3773545/71750/i/380/depositphotos_717508808-stock-photo-young-woman-listening-voice-message.jpg" TargetMode="External"/><Relationship Id="rId463" Type="http://schemas.openxmlformats.org/officeDocument/2006/relationships/hyperlink" Target="https://images.unsplash.com/photo-1717199891158-66008d9c68b5?w=500&amp;auto=format&amp;fit=crop&amp;q=60&amp;ixlib=rb-4.1.0&amp;ixid=M3wxMjA3fDB8MHxzZWFyY2h8NjZ8fHBlZGVzdHJpYW4lMjB3YWxraW5nJTIwZ3JlZW4lMjBsaWdodHxlbnwwfHwwfHx8MA%3D%3D" TargetMode="External"/><Relationship Id="rId670" Type="http://schemas.openxmlformats.org/officeDocument/2006/relationships/hyperlink" Target="https://media.istockphoto.com/id/1069139482/photo/family-crossing-crosswalk-in-the-city.jpg?s=612x612&amp;w=0&amp;k=20&amp;c=ELSL13y8tNga1TwcTQsxiPPbod01qHEOF6iDswq53Ok=" TargetMode="External"/><Relationship Id="rId1093" Type="http://schemas.openxmlformats.org/officeDocument/2006/relationships/hyperlink" Target="https://st4.depositphotos.com/27201292/37854/i/380/depositphotos_378541584-stock-photo-deer-passing-street-surrounded-people.jpg" TargetMode="External"/><Relationship Id="rId2144" Type="http://schemas.openxmlformats.org/officeDocument/2006/relationships/hyperlink" Target="https://c8.alamy.com/comp/RFPA79/load-vehicles-can-sometimes-create-traffic-hazards-RFPA79.jpg" TargetMode="External"/><Relationship Id="rId2351" Type="http://schemas.openxmlformats.org/officeDocument/2006/relationships/hyperlink" Target="https://images.unsplash.com/photo-1724044443584-ec54bd0f24c7?w=500&amp;auto=format&amp;fit=crop&amp;q=60&amp;ixlib=rb-4.1.0&amp;ixid=M3wxMjA3fDB8MHxwaG90by1yZWxhdGVkfDF8fHxlbnwwfHx8fHw%3D" TargetMode="External"/><Relationship Id="rId116" Type="http://schemas.openxmlformats.org/officeDocument/2006/relationships/hyperlink" Target="https://encrypted-tbn0.gstatic.com/images?q=tbn:ANd9GcQHT8CiwIYQlBMMMwkmE2Gk0G77PMfEoeJcAaZVgyFGtq33nRDSqYR5_6aYe4kZyUAVqNQ&amp;usqp=CAU" TargetMode="External"/><Relationship Id="rId323" Type="http://schemas.openxmlformats.org/officeDocument/2006/relationships/hyperlink" Target="https://images.unsplash.com/photo-1668661825431-a5526806e086?w=500&amp;auto=format&amp;fit=crop&amp;q=60&amp;ixlib=rb-4.1.0&amp;ixid=M3wxMjA3fDB8MHxzZWFyY2h8OTV8fHBlZGVzdHJpYW4lMjB3YWxraW5nJTIwZ3JlZW4lMjBsaWdodHxlbnwwfHwwfHx8MA%3D%3D" TargetMode="External"/><Relationship Id="rId530" Type="http://schemas.openxmlformats.org/officeDocument/2006/relationships/hyperlink" Target="https://media.istockphoto.com/id/1553389979/photo/young-women-cross-the-road-at-pedestrian-crossing-in-modern-european-city.jpg?s=612x612&amp;w=0&amp;k=20&amp;c=ibdkOIekYFW-bB1abkTC6x1jUuK-TnPeQboi5-D5o9w=" TargetMode="External"/><Relationship Id="rId768" Type="http://schemas.openxmlformats.org/officeDocument/2006/relationships/hyperlink" Target="https://jbsolicitors.com.au/wp-content/uploads/2023/02/jaywalking-featured.jpg" TargetMode="External"/><Relationship Id="rId975" Type="http://schemas.openxmlformats.org/officeDocument/2006/relationships/hyperlink" Target="https://st4.depositphotos.com/1841867/28185/i/450/depositphotos_281851370-stock-photo-m1-eastern-distributor-highway-view.jpg" TargetMode="External"/><Relationship Id="rId1160" Type="http://schemas.openxmlformats.org/officeDocument/2006/relationships/hyperlink" Target="https://media.istockphoto.com/id/178737837/photo/closeup-of-the-landslide-of-a-blocked-road.jpg?s=612x612&amp;w=0&amp;k=20&amp;c=-M46JyWIGWdZ0g-VdzVFO6gw0Dgw-03NW1oShtVvENE=" TargetMode="External"/><Relationship Id="rId1398" Type="http://schemas.openxmlformats.org/officeDocument/2006/relationships/hyperlink" Target="https://media.istockphoto.com/id/1527434333/photo/roadside-parking-by-a-bicycle-lane.jpg?s=612x612&amp;w=0&amp;k=20&amp;c=w08Ba-JM0gdSk2tpOSU_oG5EAG4vuG-zNS2Log05x60=" TargetMode="External"/><Relationship Id="rId2004" Type="http://schemas.openxmlformats.org/officeDocument/2006/relationships/hyperlink" Target="https://images.unsplash.com/photo-1591768793355-74d04bb6608f?w=400&amp;auto=format&amp;fit=crop&amp;q=60&amp;ixlib=rb-4.1.0&amp;ixid=M3wxMjA3fDB8MHxzZWFyY2h8MTB8fHRydWNrfGVufDB8fDB8fHww" TargetMode="External"/><Relationship Id="rId2211" Type="http://schemas.openxmlformats.org/officeDocument/2006/relationships/hyperlink" Target="https://st2.depositphotos.com/1471096/48330/i/450/depositphotos_483307244-stock-photo-colorful-car-loaded-things-road.jpg" TargetMode="External"/><Relationship Id="rId628" Type="http://schemas.openxmlformats.org/officeDocument/2006/relationships/hyperlink" Target="https://www.marietta-chiropractor.com/wp-content/uploads/sites/11/2022/09/Distracted-Walking.jpg" TargetMode="External"/><Relationship Id="rId835" Type="http://schemas.openxmlformats.org/officeDocument/2006/relationships/hyperlink" Target="https://media.istockphoto.com/id/894541466/photo/paulista-avenue-sao-paulo-brazil.jpg?s=612x612&amp;w=0&amp;k=20&amp;c=g1P9DuGHTcrcvgP6MfVd37Ct-8g9ErwOqIALdkmcb2U=" TargetMode="External"/><Relationship Id="rId1258" Type="http://schemas.openxmlformats.org/officeDocument/2006/relationships/hyperlink" Target="https://media.istockphoto.com/id/157527693/photo/traffic-accident.jpg?s=612x612&amp;w=0&amp;k=20&amp;c=VkJmDeJjvcUzWkR75Axc786TzY1hNkmPaQqKP6PVW84=" TargetMode="External"/><Relationship Id="rId1465" Type="http://schemas.openxmlformats.org/officeDocument/2006/relationships/hyperlink" Target="https://media.istockphoto.com/id/173606170/photo/cars-and-winter.jpg?s=612x612&amp;w=0&amp;k=20&amp;c=Kx1FFqI9phN87xW6hcSX0WLeZyTqn3bCQdr-Jccyec8=" TargetMode="External"/><Relationship Id="rId1672" Type="http://schemas.openxmlformats.org/officeDocument/2006/relationships/hyperlink" Target="https://www.hikvision.com/content/dam/hikvision/en/marketing/image/solution/solutions-by-industry/traffic/traffic-violation-management/1-reducing-enforcement-disputes.jpg" TargetMode="External"/><Relationship Id="rId2309" Type="http://schemas.openxmlformats.org/officeDocument/2006/relationships/hyperlink" Target="https://media.istockphoto.com/id/2156661569/photo/straw-transport-somewhere-in-the-central-part-of-morocco.jpg?s=612x612&amp;w=0&amp;k=20&amp;c=01yJ-5ZapNo3FquzD18eEh0H738o5Zv2nv51dYEMXGM=" TargetMode="External"/><Relationship Id="rId1020" Type="http://schemas.openxmlformats.org/officeDocument/2006/relationships/hyperlink" Target="https://st3.depositphotos.com/29384342/33879/i/450/depositphotos_338797404-stock-photo-transit-road-melbourne-skyline-background.jpg" TargetMode="External"/><Relationship Id="rId1118" Type="http://schemas.openxmlformats.org/officeDocument/2006/relationships/hyperlink" Target="https://cdn.prod.website-files.com/633a774cc6e89f417caf380c/6372e10439e184188c00cdfd_JtnzKxnQwo1b2VjRltx5Rgr5hvWGVT7JJFaSoZzuPRJ5ApmuXQYMppQSe358gj3q7Csm9KNTdxnKUagaXnS8Ca9DC_lmqcu17Hn7u-z9TU_STRHOqFF8L8e0j1gkc3lLm4KQbIsOhnoLTbryNUwsNfa8lhJuRX3ZvFSfCR-uEdM9_tICiWPUMU8w8lktjA.jpeg" TargetMode="External"/><Relationship Id="rId1325" Type="http://schemas.openxmlformats.org/officeDocument/2006/relationships/hyperlink" Target="https://media.istockphoto.com/id/1167145186/photo/koala-sitting-in-the-middle-of-the-road.jpg?s=612x612&amp;w=0&amp;k=20&amp;c=2WL-Mv4DE2kGi2QTBvrCTdYuSgO44zkvl_40kt33PHs=" TargetMode="External"/><Relationship Id="rId1532" Type="http://schemas.openxmlformats.org/officeDocument/2006/relationships/hyperlink" Target="https://encrypted-tbn0.gstatic.com/images?q=tbn:ANd9GcR6rEhk22kl5gunAeGozvYyRDG_832UOE01TkpCeQM9lKKGCfSBtfdrEMvAv8J4E5A_XJI&amp;usqp=CAU" TargetMode="External"/><Relationship Id="rId1977" Type="http://schemas.openxmlformats.org/officeDocument/2006/relationships/hyperlink" Target="https://media.istockphoto.com/id/467838539/photo/car-with-kayak-canoe-on-top-blue-sky-active-lifestyle.jpg?s=612x612&amp;w=0&amp;k=20&amp;c=KtkCc8AZIL3_rmKzib3tIBGYaM3s5R_N5BQWPrcAcRA=" TargetMode="External"/><Relationship Id="rId902" Type="http://schemas.openxmlformats.org/officeDocument/2006/relationships/hyperlink" Target="https://media.istockphoto.com/id/626590212/photo/straight-line-australian-highway-in-rural-outback.jpg?s=612x612&amp;w=0&amp;k=20&amp;c=jZQ21WENfqvsjyzzDaO4ajf98w8eVkQWCSgsa7fb_Ns=" TargetMode="External"/><Relationship Id="rId1837" Type="http://schemas.openxmlformats.org/officeDocument/2006/relationships/hyperlink" Target="https://encrypted-tbn0.gstatic.com/images?q=tbn:ANd9GcTu7Iu_TLmf4qHybpaVIhcsvQF5PsJ7aNM5O4YJiccNAvJgSVPZZya3ZxfGlIUlS87HPQE&amp;usqp=CAU" TargetMode="External"/><Relationship Id="rId31" Type="http://schemas.openxmlformats.org/officeDocument/2006/relationships/hyperlink" Target="https://st4.depositphotos.com/5675252/22611/i/380/depositphotos_226118748-stock-photo-man-driving-car-while-eating.jpg" TargetMode="External"/><Relationship Id="rId2099" Type="http://schemas.openxmlformats.org/officeDocument/2006/relationships/hyperlink" Target="https://media.istockphoto.com/id/177540596/photo/truck-travelling-on-roadway-heavily-overloaded-by-wood.jpg?s=612x612&amp;w=0&amp;k=20&amp;c=iy4LhQzbb7155A5Yl5ppMEFgAvj93G0ccIZqzPLAol0=" TargetMode="External"/><Relationship Id="rId180" Type="http://schemas.openxmlformats.org/officeDocument/2006/relationships/hyperlink" Target="https://st4.depositphotos.com/5675252/22611/i/380/depositphotos_226118748-stock-photo-man-driving-car-while-eating.jpg" TargetMode="External"/><Relationship Id="rId278" Type="http://schemas.openxmlformats.org/officeDocument/2006/relationships/hyperlink" Target="https://st4.depositphotos.com/4218696/27231/i/380/depositphotos_272314514-stock-photo-african-american-couple-using-navigator.jpg" TargetMode="External"/><Relationship Id="rId1904" Type="http://schemas.openxmlformats.org/officeDocument/2006/relationships/hyperlink" Target="https://images.nature.com/lw1200/magazine-assets/d41586-019-00191-0/d41586-019-00191-0_16402114.jpg" TargetMode="External"/><Relationship Id="rId485" Type="http://schemas.openxmlformats.org/officeDocument/2006/relationships/hyperlink" Target="https://images.pexels.com/photos/31585198/pexels-photo-31585198.jpeg" TargetMode="External"/><Relationship Id="rId692" Type="http://schemas.openxmlformats.org/officeDocument/2006/relationships/hyperlink" Target="https://media.istockphoto.com/id/2156838764/photo/woman-eating-ice-cream-in-urban-setting.jpg?s=612x612&amp;w=0&amp;k=20&amp;c=xav-nGRyWU4Q4oIdN6TD0w1pSkbPLdK8sLiRuXyBiak=" TargetMode="External"/><Relationship Id="rId2166" Type="http://schemas.openxmlformats.org/officeDocument/2006/relationships/hyperlink" Target="https://i.tribune.com.pk/media/images/934725-van-1439066225/934725-van-1439066225.JPG" TargetMode="External"/><Relationship Id="rId138" Type="http://schemas.openxmlformats.org/officeDocument/2006/relationships/hyperlink" Target="https://encrypted-tbn0.gstatic.com/images?q=tbn:ANd9GcSQi60NR5C_mhIOdPKqpLY6ZCF3S8bse7oQFAB72sXYGRrprtMRyq1ahILc-reoBbGvb-E&amp;usqp=CAU" TargetMode="External"/><Relationship Id="rId345" Type="http://schemas.openxmlformats.org/officeDocument/2006/relationships/hyperlink" Target="https://mlazgc8qzi72.i.optimole.com/w:1080/h:1080/q:mauto/ig:avif/https:/national-claims.co.uk/wp-content/uploads/2024/03/behzad-ghaffarian-GdRI9Bh2nJo-unsplash-1.jpg" TargetMode="External"/><Relationship Id="rId552" Type="http://schemas.openxmlformats.org/officeDocument/2006/relationships/hyperlink" Target="https://h7.alamy.com/comp/2S2270W/people-cross-the-road-on-a-red-traffic-light-pedestrian-violation-of-traffic-rules-urban-street-cape-town-south-africa-31-oct-2023-2S2270W.jpg" TargetMode="External"/><Relationship Id="rId997" Type="http://schemas.openxmlformats.org/officeDocument/2006/relationships/hyperlink" Target="https://st3.depositphotos.com/1585997/31917/i/450/depositphotos_319175698-stock-photo-traffic-to-perth-central-financial.jpg" TargetMode="External"/><Relationship Id="rId1182" Type="http://schemas.openxmlformats.org/officeDocument/2006/relationships/hyperlink" Target="https://media.istockphoto.com/id/488493470/photo/wind-storm-damage.jpg?s=612x612&amp;w=0&amp;k=20&amp;c=G4CClLf4XXmKi5pnLF_-LloAjG56rONVgFFzuLCOF7o=" TargetMode="External"/><Relationship Id="rId2026" Type="http://schemas.openxmlformats.org/officeDocument/2006/relationships/hyperlink" Target="https://media.istockphoto.com/id/1289928297/photo/white-semi-trailer-truck-heading-down-a-four-lane-highway-at-dusk.jpg?s=612x612&amp;w=0&amp;k=20&amp;c=KrNejbm8JEJ4JxCzQrJp_pJezj-w--uElAIg0QrQo0c=" TargetMode="External"/><Relationship Id="rId2233" Type="http://schemas.openxmlformats.org/officeDocument/2006/relationships/hyperlink" Target="https://st5.depositphotos.com/31126772/74815/i/450/depositphotos_748153816-stock-photo-thule-wingbar-evo-roof-bike.jpg" TargetMode="External"/><Relationship Id="rId205" Type="http://schemas.openxmlformats.org/officeDocument/2006/relationships/hyperlink" Target="https://st2.depositphotos.com/14799452/47325/i/380/depositphotos_473251102-stock-photo-happy-woman-eating-food-drinking.jpg" TargetMode="External"/><Relationship Id="rId412" Type="http://schemas.openxmlformats.org/officeDocument/2006/relationships/hyperlink" Target="https://media.istockphoto.com/id/478525372/photo/woman-crossing-the-street-at-pedestrian-crossing.jpg?s=612x612&amp;w=0&amp;k=20&amp;c=eLWbO3l_mLfgUYDadVagNAKpeuJ_DuRFby3V8H3gqLQ=" TargetMode="External"/><Relationship Id="rId857" Type="http://schemas.openxmlformats.org/officeDocument/2006/relationships/hyperlink" Target="https://media.istockphoto.com/id/1411145066/photo/busy-traffic-intersection-and-light-rail-bridge-shot-from-above.jpg?s=612x612&amp;w=0&amp;k=20&amp;c=l8JfgIEYie0Vhqikcck8genLfMOYBAWHw0tiAGfE_lQ=" TargetMode="External"/><Relationship Id="rId1042" Type="http://schemas.openxmlformats.org/officeDocument/2006/relationships/hyperlink" Target="https://media.istockphoto.com/id/619498880/photo/professional-use-auto-advertising-backplate.jpg?s=612x612&amp;w=0&amp;k=20&amp;c=Z0Qk6gE9sUzjbavK_eUg0oQWB2Jw83RpAA3l1mq6UGg=" TargetMode="External"/><Relationship Id="rId1487" Type="http://schemas.openxmlformats.org/officeDocument/2006/relationships/hyperlink" Target="https://images.unsplash.com/photo-1613650427984-be2f16df8075?w=500&amp;auto=format&amp;fit=crop&amp;q=60&amp;ixlib=rb-4.1.0&amp;ixid=M3wxMjA3fDB8MHxwaG90by1yZWxhdGVkfDF8fHxlbnwwfHx8fHw%3D" TargetMode="External"/><Relationship Id="rId1694" Type="http://schemas.openxmlformats.org/officeDocument/2006/relationships/hyperlink" Target="https://media.istockphoto.com/id/139085335/photo/police-cars-block-traffic.jpg?s=612x612&amp;w=0&amp;k=20&amp;c=OkdUjIcQHvlfvZcGlTkWNkfX4VQLK6W10-mkxsmuTgM=" TargetMode="External"/><Relationship Id="rId2300" Type="http://schemas.openxmlformats.org/officeDocument/2006/relationships/hyperlink" Target="https://images.unsplash.com/photo-1559724777-252ff7ea187f?w=400&amp;auto=format&amp;fit=crop&amp;q=60&amp;ixlib=rb-4.1.0&amp;ixid=M3wxMjA3fDB8MHxwaG90by1yZWxhdGVkfDJ8fHxlbnwwfHx8fHw%3D" TargetMode="External"/><Relationship Id="rId717" Type="http://schemas.openxmlformats.org/officeDocument/2006/relationships/hyperlink" Target="https://media.istockphoto.com/id/1625170893/photo/people-jaywalking-in-new-york-city.jpg?s=612x612&amp;w=0&amp;k=20&amp;c=mzG9kd2F9-yyGHGi69fEsARyA6TzOuJxC-qTHez8pzI=" TargetMode="External"/><Relationship Id="rId924" Type="http://schemas.openxmlformats.org/officeDocument/2006/relationships/hyperlink" Target="https://media.istockphoto.com/id/537615269/photo/double-yellow-lines-on-asphalt-road.jpg?s=612x612&amp;w=0&amp;k=20&amp;c=wsLidRjQilmn_QV-VwrJHGXAKqf1K0MdYTdE3dxxr74=" TargetMode="External"/><Relationship Id="rId1347" Type="http://schemas.openxmlformats.org/officeDocument/2006/relationships/hyperlink" Target="https://media.istockphoto.com/id/1324873600/photo/flooded-neighborhood-streets-in-fort-lauderdale-florida-usa.jpg?s=612x612&amp;w=0&amp;k=20&amp;c=LjGklTA9h5K0fuRPu1cudjRfzdEjc_1cabB-11YsutI=" TargetMode="External"/><Relationship Id="rId1554" Type="http://schemas.openxmlformats.org/officeDocument/2006/relationships/hyperlink" Target="https://media.istockphoto.com/id/159406920/photo/aerial-view-of-cars-in-traffic.jpg?s=612x612&amp;w=0&amp;k=20&amp;c=2BeXnk1EppE_mfWgYFqoXidmge0uAhSk9gl8bbtHyF8=" TargetMode="External"/><Relationship Id="rId1761" Type="http://schemas.openxmlformats.org/officeDocument/2006/relationships/hyperlink" Target="https://encrypted-tbn0.gstatic.com/images?q=tbn:ANd9GcStdyLZnMH5pHhy7AptoreqSuTJULO_9-8pjaJyvlY2wwmD6Q9lQkBs7wocmVv3TZjiEQM&amp;usqp=CAU" TargetMode="External"/><Relationship Id="rId1999" Type="http://schemas.openxmlformats.org/officeDocument/2006/relationships/hyperlink" Target="https://media.istockphoto.com/id/2171315771/photo/car-for-traveling-with-a-mountain-road.jpg?s=612x612&amp;w=0&amp;k=20&amp;c=eirBpiMqIcKhocic8rMCULfiGGIwz5IyDRoFnkV617o=" TargetMode="External"/><Relationship Id="rId53" Type="http://schemas.openxmlformats.org/officeDocument/2006/relationships/hyperlink" Target="https://st5.depositphotos.com/4218696/67112/i/380/depositphotos_671121532-stock-photo-distracted-driving-concept-shocked-scared.jpg" TargetMode="External"/><Relationship Id="rId1207" Type="http://schemas.openxmlformats.org/officeDocument/2006/relationships/hyperlink" Target="https://media.istockphoto.com/id/941160696/photo/potholes-on-a-paved-road.jpg?s=612x612&amp;w=0&amp;k=20&amp;c=r3cMwK6Yfj1pCE_itggsAq7V8jsFYjFmS3912Cyry_Y=" TargetMode="External"/><Relationship Id="rId1414" Type="http://schemas.openxmlformats.org/officeDocument/2006/relationships/hyperlink" Target="https://media.istockphoto.com/id/1219457616/photo/hwy-sy-west-dist-2-bridge-jam.jpg?s=1024x1024&amp;w=is&amp;k=20&amp;c=i-gmb0ZHC6UiaJPTlm_wXVYd3nBsHqKevm8Jyhbex-o=" TargetMode="External"/><Relationship Id="rId1621" Type="http://schemas.openxmlformats.org/officeDocument/2006/relationships/hyperlink" Target="https://encrypted-tbn0.gstatic.com/images?q=tbn:ANd9GcStdyLZnMH5pHhy7AptoreqSuTJULO_9-8pjaJyvlY2wwmD6Q9lQkBs7wocmVv3TZjiEQM&amp;usqp=CAU" TargetMode="External"/><Relationship Id="rId1859" Type="http://schemas.openxmlformats.org/officeDocument/2006/relationships/hyperlink" Target="https://media.istockphoto.com/id/1314167846/photo/rv-caravan-camping-at-the-caravan-park-camping-vacation-travel-concept.jpg?s=612x612&amp;w=0&amp;k=20&amp;c=W1nPWWFlcZXe9a4Q8gmOuwHokfudxJol7OkQQFOQYfs=" TargetMode="External"/><Relationship Id="rId1719" Type="http://schemas.openxmlformats.org/officeDocument/2006/relationships/hyperlink" Target="https://injurylawyer.com/wp-content/uploads/2019/01/shutterstock_1219713949-e1546541020647.jpg.webp" TargetMode="External"/><Relationship Id="rId1926" Type="http://schemas.openxmlformats.org/officeDocument/2006/relationships/hyperlink" Target="https://live.staticflickr.com/65535/52119191050_87bb9652b4_z.jpg" TargetMode="External"/><Relationship Id="rId2090" Type="http://schemas.openxmlformats.org/officeDocument/2006/relationships/hyperlink" Target="https://plus.unsplash.com/premium_photo-1664695710271-3b7a08fb6d38?w=400&amp;auto=format&amp;fit=crop&amp;q=60&amp;ixlib=rb-4.1.0&amp;ixid=M3wxMjA3fDB8MHxwaG90by1yZWxhdGVkfDE2fHx8ZW58MHx8fHx8" TargetMode="External"/><Relationship Id="rId2188" Type="http://schemas.openxmlformats.org/officeDocument/2006/relationships/hyperlink" Target="https://st.depositphotos.com/1019221/1212/i/450/depositphotos_12121958-stock-photo-africa.jpg" TargetMode="External"/><Relationship Id="rId367" Type="http://schemas.openxmlformats.org/officeDocument/2006/relationships/hyperlink" Target="https://www.shutterstock.com/shutterstock/photos/285654479/display_1500/stock-photo-woman-crossing-the-street-at-a-pedestrian-crossing-285654479.jpg" TargetMode="External"/><Relationship Id="rId574" Type="http://schemas.openxmlformats.org/officeDocument/2006/relationships/hyperlink" Target="https://media.istockphoto.com/id/2156838758/photo/woman-strolls-with-phone-and-ice-cream.jpg?s=612x612&amp;w=0&amp;k=20&amp;c=2wloP8A1JOFCsm2VAQRmqhfzWmblhpDTw8D5uGFtTcI=" TargetMode="External"/><Relationship Id="rId2048" Type="http://schemas.openxmlformats.org/officeDocument/2006/relationships/hyperlink" Target="https://c8.alamy.com/comp/C4053X/dover-port-aerial-view-trucks-lorries-trailers-queuing-below-gantry-C4053X.jpg" TargetMode="External"/><Relationship Id="rId2255" Type="http://schemas.openxmlformats.org/officeDocument/2006/relationships/hyperlink" Target="https://st3.depositphotos.com/29384342/33526/i/450/depositphotos_335266756-stock-photo-car-desert.jpg" TargetMode="External"/><Relationship Id="rId227" Type="http://schemas.openxmlformats.org/officeDocument/2006/relationships/hyperlink" Target="https://st5.depositphotos.com/1192060/65935/i/380/depositphotos_659354892-stock-photo-woman-putting-lipstick-while-steering.jpg" TargetMode="External"/><Relationship Id="rId781" Type="http://schemas.openxmlformats.org/officeDocument/2006/relationships/hyperlink" Target="https://media.istockphoto.com/id/539243306/photo/cheerful-young-woman-standing-on-street-and-talking-at-phone.jpg?s=612x612&amp;w=0&amp;k=20&amp;c=lXkF2SFIouc_-uimeMmBvjsIR7_MFCHAveAaGZDutmQ=" TargetMode="External"/><Relationship Id="rId879" Type="http://schemas.openxmlformats.org/officeDocument/2006/relationships/hyperlink" Target="https://media.istockphoto.com/id/1127254622/photo/heavy-but-fluid-traffic-on-the-a10-highway-in-france-by-a-sunny-day.jpg?s=612x612&amp;w=0&amp;k=20&amp;c=KwwoFrRzFSGMFznyuadEzGtPKbZmklURsp5BaE_nD6E=" TargetMode="External"/><Relationship Id="rId434" Type="http://schemas.openxmlformats.org/officeDocument/2006/relationships/hyperlink" Target="https://media.istockphoto.com/id/596792426/photo/shinjuku-shopping-district-tokyo-japan.jpg?s=612x612&amp;w=0&amp;k=20&amp;c=mIlda86ptulybv1R3Dw8OUcShy0FDqqEQTRXAPM79Qc=" TargetMode="External"/><Relationship Id="rId641" Type="http://schemas.openxmlformats.org/officeDocument/2006/relationships/hyperlink" Target="https://toolkit.irap.org/wp-content/uploads/2022/02/Pedestrians-cross-a-busy-multilane-road-underneath-a-pedestrian-bridge-in-China.-Credit-iRAP-2-scaled.jpg" TargetMode="External"/><Relationship Id="rId739" Type="http://schemas.openxmlformats.org/officeDocument/2006/relationships/hyperlink" Target="https://st.depositphotos.com/20024196/60003/i/380/depositphotos_600035298-stock-photo-london-may-2022-people-crossing.jpg" TargetMode="External"/><Relationship Id="rId1064" Type="http://schemas.openxmlformats.org/officeDocument/2006/relationships/hyperlink" Target="https://media.istockphoto.com/id/1040400108/photo/tree-across-power-lines-that-were-taken-out-by-hurricane-florence.jpg?s=612x612&amp;w=0&amp;k=20&amp;c=33-kanTCAEC4meB9ZYIQ9K6TlWz83B5Y6kKVjaKcSwk=" TargetMode="External"/><Relationship Id="rId1271" Type="http://schemas.openxmlformats.org/officeDocument/2006/relationships/hyperlink" Target="https://static6.depositphotos.com/1003512/579/i/380/depositphotos_5792291-stock-photo-calves-on-the-road.jpg" TargetMode="External"/><Relationship Id="rId1369" Type="http://schemas.openxmlformats.org/officeDocument/2006/relationships/hyperlink" Target="https://images.unsplash.com/photo-1613642190115-ff38824cb2e2?w=500&amp;auto=format&amp;fit=crop&amp;q=60&amp;ixlib=rb-4.1.0&amp;ixid=M3wxMjA3fDB8MHxzZWFyY2h8Mnx8Y2FyJTIwYXQlMjByZWQlMjBsaWdodHxlbnwwfHwwfHx8MA%3D%3D" TargetMode="External"/><Relationship Id="rId1576" Type="http://schemas.openxmlformats.org/officeDocument/2006/relationships/hyperlink" Target="https://media.istockphoto.com/id/2144172069/photo/traffic-and-traffic-signs-on-freeway.jpg?s=612x612&amp;w=0&amp;k=20&amp;c=EaL-uNILc37VMPAc67tzbzv2cJYH48_ZJlvVmO5tIlo=" TargetMode="External"/><Relationship Id="rId2115" Type="http://schemas.openxmlformats.org/officeDocument/2006/relationships/hyperlink" Target="https://st5.depositphotos.com/1178490/67323/i/450/depositphotos_673238216-stock-photo-trunk-cargo-box-roof-car.jpg" TargetMode="External"/><Relationship Id="rId2322" Type="http://schemas.openxmlformats.org/officeDocument/2006/relationships/hyperlink" Target="https://images.freeimages.com/images/large-previews/ccd/overload-1253409.jpg?fmt=webp&amp;w=500" TargetMode="External"/><Relationship Id="rId501" Type="http://schemas.openxmlformats.org/officeDocument/2006/relationships/hyperlink" Target="https://media.istockphoto.com/id/1272681505/photo/school-girl-crossing-the-street.jpg?s=612x612&amp;w=0&amp;k=20&amp;c=McPuVPjcC45e80P0VISfcCwUqmDSkhUAsv-21YOQiP0=" TargetMode="External"/><Relationship Id="rId946" Type="http://schemas.openxmlformats.org/officeDocument/2006/relationships/hyperlink" Target="https://media.istockphoto.com/id/943054428/photo/coastline-road.jpg?s=612x612&amp;w=0&amp;k=20&amp;c=8ogyDtbyKdnHjV9u5bG4v5sedxFl1Rq3PrhtCTX6eMw=" TargetMode="External"/><Relationship Id="rId1131" Type="http://schemas.openxmlformats.org/officeDocument/2006/relationships/hyperlink" Target="https://content.api.news/v3/images/bin/3b54220bb188309e82871d0c9311c2de" TargetMode="External"/><Relationship Id="rId1229" Type="http://schemas.openxmlformats.org/officeDocument/2006/relationships/hyperlink" Target="https://media.istockphoto.com/id/1404731007/photo/one-pit-pothole-with-dirty-water-on-the-gray-asphalt-road.jpg?s=612x612&amp;w=0&amp;k=20&amp;c=IyhzvmwROve_EjVYwqQtNFUrGeM-PDZsvCPXl6HL5M4=" TargetMode="External"/><Relationship Id="rId1783" Type="http://schemas.openxmlformats.org/officeDocument/2006/relationships/hyperlink" Target="https://encrypted-tbn0.gstatic.com/images?q=tbn:ANd9GcQblo3PT9wfa9c0pHNglOvp5CZ0-D-xq98YJWlhJ1XPebZgIv9KnT0rNQ2GoJTI6LUc16w&amp;usqp=CAU" TargetMode="External"/><Relationship Id="rId1990" Type="http://schemas.openxmlformats.org/officeDocument/2006/relationships/hyperlink" Target="https://media.istockphoto.com/id/648217724/photo/car-with-kayak-on-top-roof.jpg?s=612x612&amp;w=0&amp;k=20&amp;c=kY9-NNW_ms7GPwUZ0bUdBLrPKh3WIkTzjlsUVuZMj8A=" TargetMode="External"/><Relationship Id="rId75" Type="http://schemas.openxmlformats.org/officeDocument/2006/relationships/hyperlink" Target="https://media.istockphoto.com/id/586357672/photo/texting-and-driving-wreck-hitting-pedestrian.jpg?s=612x612&amp;w=0&amp;k=20&amp;c=4E5fpk5OP0W1V5h6Aak7iBk2wXj6_OojcoNRcQj2xzs=" TargetMode="External"/><Relationship Id="rId806" Type="http://schemas.openxmlformats.org/officeDocument/2006/relationships/hyperlink" Target="https://encrypted-tbn0.gstatic.com/images?q=tbn:ANd9GcQX-8X2GiyFIH3ouayGKWcUncDZogBtCN9sEpj3gjRsfCnwHMNeGNqJT5uLMAQM1uv53MQ&amp;usqp=CAU" TargetMode="External"/><Relationship Id="rId1436" Type="http://schemas.openxmlformats.org/officeDocument/2006/relationships/hyperlink" Target="https://media.istockphoto.com/id/1474796515/photo/putting-on-safety-seatbelt.jpg?s=612x612&amp;w=0&amp;k=20&amp;c=7El5OS_c-zabjcuWndVGMuMnThVPsw_LJ1Sy-1qUCsI=" TargetMode="External"/><Relationship Id="rId1643" Type="http://schemas.openxmlformats.org/officeDocument/2006/relationships/hyperlink" Target="https://learndrivesurvive.com.au/wp-content/uploads/2017/09/hazards-perception-skills.jpg" TargetMode="External"/><Relationship Id="rId1850" Type="http://schemas.openxmlformats.org/officeDocument/2006/relationships/hyperlink" Target="https://live.staticflickr.com/65535/52119191050_87bb9652b4_z.jpg" TargetMode="External"/><Relationship Id="rId1503" Type="http://schemas.openxmlformats.org/officeDocument/2006/relationships/hyperlink" Target="https://images.unsplash.com/photo-1573584681653-f78b856e9521?w=500&amp;auto=format&amp;fit=crop&amp;q=60&amp;ixlib=rb-4.1.0&amp;ixid=M3wxMjA3fDB8MHxwaG90by1yZWxhdGVkfDEzfHx8ZW58MHx8fHx8" TargetMode="External"/><Relationship Id="rId1710" Type="http://schemas.openxmlformats.org/officeDocument/2006/relationships/hyperlink" Target="https://media.istockphoto.com/id/2161543642/photo/running-yellow-lights.webp?s=1024x1024&amp;w=is&amp;k=20&amp;c=FoZ9Ge1jeI5APSlvM03RZFFWZZPYo1QnGUhKEvlIzbo=" TargetMode="External"/><Relationship Id="rId1948" Type="http://schemas.openxmlformats.org/officeDocument/2006/relationships/hyperlink" Target="https://st.depositphotos.com/1005951/55322/i/450/depositphotos_553222338-stock-photo-large-roof-box-storage-red.jpg" TargetMode="External"/><Relationship Id="rId291" Type="http://schemas.openxmlformats.org/officeDocument/2006/relationships/hyperlink" Target="https://mlazgc8qzi72.i.optimole.com/w:1080/h:1080/q:mauto/ig:avif/https:/national-claims.co.uk/wp-content/uploads/2024/03/behzad-ghaffarian-GdRI9Bh2nJo-unsplash-1.jpg" TargetMode="External"/><Relationship Id="rId1808" Type="http://schemas.openxmlformats.org/officeDocument/2006/relationships/hyperlink" Target="https://bicyclensw.org.au/wp-content/uploads/2020/01/Door-Zone_600x400.png" TargetMode="External"/><Relationship Id="rId151" Type="http://schemas.openxmlformats.org/officeDocument/2006/relationships/hyperlink" Target="https://images.pexels.com/photos/8387455/pexels-photo-8387455.jpeg" TargetMode="External"/><Relationship Id="rId389" Type="http://schemas.openxmlformats.org/officeDocument/2006/relationships/hyperlink" Target="https://media.istockphoto.com/id/1132356459/photo/senior-woman-crossing.jpg?s=612x612&amp;w=0&amp;k=20&amp;c=lI2anvVJtubV2aB0bzk9HeZSPpC_4G4iQNbY5L7RknM=" TargetMode="External"/><Relationship Id="rId596" Type="http://schemas.openxmlformats.org/officeDocument/2006/relationships/hyperlink" Target="https://st4.depositphotos.com/21607914/23781/i/380/depositphotos_237813492-stock-photo-chinese-jaywalkers-walk-road-nanjing.jpg" TargetMode="External"/><Relationship Id="rId2277" Type="http://schemas.openxmlformats.org/officeDocument/2006/relationships/hyperlink" Target="https://media.istockphoto.com/id/1131258299/photo/car-image.jpg?s=612x612&amp;w=0&amp;k=20&amp;c=v49ErTNHKHQELS236B2Gw62-IYopts45atCjtp4Yo04=" TargetMode="External"/><Relationship Id="rId249" Type="http://schemas.openxmlformats.org/officeDocument/2006/relationships/hyperlink" Target="https://st.depositphotos.com/1000647/4674/i/380/depositphotos_46742309-stock-photo-driving-a-car.jpg" TargetMode="External"/><Relationship Id="rId456" Type="http://schemas.openxmlformats.org/officeDocument/2006/relationships/hyperlink" Target="https://images.unsplash.com/photo-1644534226441-9078b613c3ec?w=500&amp;auto=format&amp;fit=crop&amp;q=60&amp;ixlib=rb-4.1.0&amp;ixid=M3wxMjA3fDB8MHxzZWFyY2h8MTl8fHBlZGVzdHJpYW4lMjB3YWxraW5nJTIwc2FmZXxlbnwwfHwwfHx8MA%3D%3D" TargetMode="External"/><Relationship Id="rId663" Type="http://schemas.openxmlformats.org/officeDocument/2006/relationships/hyperlink" Target="https://images.unsplash.com/photo-1642761503017-c1744e5da6ac?w=500&amp;auto=format&amp;fit=crop&amp;q=60&amp;ixlib=rb-4.1.0&amp;ixid=M3wxMjA3fDB8MHxzZWFyY2h8ODd8fHBlZGVzdHJpYW4lMjB3YWxraW5nJTIwZ3JlZW4lMjBsaWdodHxlbnwwfHwwfHx8MA%3D%3D" TargetMode="External"/><Relationship Id="rId870" Type="http://schemas.openxmlformats.org/officeDocument/2006/relationships/hyperlink" Target="https://static01.nyt.com/images/2012/04/13/arts/13JPDRIVE1/13JPDRIVE1-superJumbo.jpg" TargetMode="External"/><Relationship Id="rId1086" Type="http://schemas.openxmlformats.org/officeDocument/2006/relationships/hyperlink" Target="https://media.istockphoto.com/id/171276431/photo/storm-damaged-traffic-light.jpg?s=612x612&amp;w=0&amp;k=20&amp;c=X1vrx9gCvbZnLQ4UPcBSW7V0TU8s0pIfMzH9kbM7H6I=" TargetMode="External"/><Relationship Id="rId1293" Type="http://schemas.openxmlformats.org/officeDocument/2006/relationships/hyperlink" Target="https://st.depositphotos.com/1730665/1247/i/380/depositphotos_12478046-stock-photo-australia-victoria-great-ocean-road.jpg" TargetMode="External"/><Relationship Id="rId2137" Type="http://schemas.openxmlformats.org/officeDocument/2006/relationships/hyperlink" Target="https://images.freeimages.com/images/large-previews/ccd/overload-1253409.jpg?fmt=webp&amp;w=500" TargetMode="External"/><Relationship Id="rId2344" Type="http://schemas.openxmlformats.org/officeDocument/2006/relationships/hyperlink" Target="https://worksafetci.com/wp-content/uploads/shutterstock_2177448265.jpg" TargetMode="External"/><Relationship Id="rId109" Type="http://schemas.openxmlformats.org/officeDocument/2006/relationships/hyperlink" Target="https://www.johnsongarcialaw.com/wp-content/uploads/2020/12/Johnson-Garcia-blog-post-image_Common-signs-of-distracted-driving-scaled-1.jpg.webp" TargetMode="External"/><Relationship Id="rId316" Type="http://schemas.openxmlformats.org/officeDocument/2006/relationships/hyperlink" Target="https://st3.depositphotos.com/16849182/33660/i/380/depositphotos_336604854-stock-photo-one-pedestrian-walking-through-the.jpg" TargetMode="External"/><Relationship Id="rId523" Type="http://schemas.openxmlformats.org/officeDocument/2006/relationships/hyperlink" Target="https://media.istockphoto.com/id/1413416031/photo/teenage-schoolchildren-a-boy-and-a-girl-cross-the-road-at-a-pedestrian-crossing.jpg?s=612x612&amp;w=0&amp;k=20&amp;c=ebA0Ov20ZXTXYc5BbYuW9RGwJaDnmWEdnNF2lQbFlWc=" TargetMode="External"/><Relationship Id="rId968" Type="http://schemas.openxmlformats.org/officeDocument/2006/relationships/hyperlink" Target="https://st.depositphotos.com/6570854/53660/i/450/depositphotos_536607132-stock-photo-roads-australia-victoria-suburb-melbourne.jpg" TargetMode="External"/><Relationship Id="rId1153" Type="http://schemas.openxmlformats.org/officeDocument/2006/relationships/hyperlink" Target="https://media.istockphoto.com/id/929942316/photo/old-highway-with-holes-and-snow-landscape-road-potholes-in-cloudy-winter-weather-concept.jpg?s=612x612&amp;w=0&amp;k=20&amp;c=ZtK8wJgXLQYEWGMJVGeyZBqVPKsdHMQlml1Vx8i17aw=" TargetMode="External"/><Relationship Id="rId1598" Type="http://schemas.openxmlformats.org/officeDocument/2006/relationships/hyperlink" Target="https://images.tribuneindia.com/cms/gall_content/2015/9/2015_9$largeimg15_Tuesday_2015_230629386.jpg" TargetMode="External"/><Relationship Id="rId2204" Type="http://schemas.openxmlformats.org/officeDocument/2006/relationships/hyperlink" Target="https://st.depositphotos.com/1035123/3056/i/450/depositphotos_30568385-stock-photo-truck-overloaded-with-rice-sacks.jpg" TargetMode="External"/><Relationship Id="rId97" Type="http://schemas.openxmlformats.org/officeDocument/2006/relationships/hyperlink" Target="https://lh5.googleusercontent.com/y9o_BIcSyYxMONRHr8zx58hUr4Hjlj3in_9pHGaKDTSERFpVk-Y61wpqsD6O5KSdK_Xix4aQ076yOvTpnRtjyDAnXdrJ--QNzoVS21A_nBDXOggRcJkoIC0OQpbdgdewbg" TargetMode="External"/><Relationship Id="rId730" Type="http://schemas.openxmlformats.org/officeDocument/2006/relationships/hyperlink" Target="https://media.istockphoto.com/id/1150351464/photo/jaywalking-on-a-city-street.jpg?s=612x612&amp;w=0&amp;k=20&amp;c=xvH692j6e2bA03I86zgcYoZ40DLRmf1Dd_hR7IY5n-Y=" TargetMode="External"/><Relationship Id="rId828" Type="http://schemas.openxmlformats.org/officeDocument/2006/relationships/hyperlink" Target="https://media.istockphoto.com/id/2178353298/photo/a-road-with-a-white-line-down-the-middle-and-a-yellow-line-on-the-side.jpg?s=612x612&amp;w=0&amp;k=20&amp;c=pqIhn96bLGu2jqyVNpkw8TtaEyDR2_L1cow82kwIf3s=" TargetMode="External"/><Relationship Id="rId1013" Type="http://schemas.openxmlformats.org/officeDocument/2006/relationships/hyperlink" Target="https://static8.depositphotos.com/1421348/902/i/450/depositphotos_9023272-stock-photo-road-in-the-city.jpg" TargetMode="External"/><Relationship Id="rId1360" Type="http://schemas.openxmlformats.org/officeDocument/2006/relationships/hyperlink" Target="https://live.staticflickr.com/65535/50195648326_7c5cf49544.jpg" TargetMode="External"/><Relationship Id="rId1458" Type="http://schemas.openxmlformats.org/officeDocument/2006/relationships/hyperlink" Target="https://media.istockphoto.com/id/513106144/photo/traffic-on-highway-with-cars.jpg?s=612x612&amp;w=0&amp;k=20&amp;c=dXm6BH6TnIHFu202PlQJNdM12lZQBt11Tkbqx85rHdQ=" TargetMode="External"/><Relationship Id="rId1665" Type="http://schemas.openxmlformats.org/officeDocument/2006/relationships/hyperlink" Target="https://media.istockphoto.com/id/453376679/photo/dangerous-city-traffic-situation.jpg?s=1024x1024&amp;w=is&amp;k=20&amp;c=3R57_ecaTQXDXoUO0q432OxZHaHmde8j4ld1rsLzGzc=" TargetMode="External"/><Relationship Id="rId1872" Type="http://schemas.openxmlformats.org/officeDocument/2006/relationships/hyperlink" Target="https://images.unsplash.com/photo-1590079105886-f0f884bf4437?w=400&amp;auto=format&amp;fit=crop&amp;q=60&amp;ixlib=rb-4.1.0&amp;ixid=M3wxMjA3fDB8MHxzZWFyY2h8NDB8fHRydWNrfGVufDB8fDB8fHww" TargetMode="External"/><Relationship Id="rId1220" Type="http://schemas.openxmlformats.org/officeDocument/2006/relationships/hyperlink" Target="https://media.istockphoto.com/id/1688511727/photo/pothole-on-asphalt-road-filled-with-water.jpg?s=612x612&amp;w=0&amp;k=20&amp;c=HA4osRHz_nzftv_rA2amuJG90o5G1fQ66W4BxbS1IVE=" TargetMode="External"/><Relationship Id="rId1318" Type="http://schemas.openxmlformats.org/officeDocument/2006/relationships/hyperlink" Target="https://media.istockphoto.com/id/1148691627/photo/macropus-giganteus-eastern-grey-kangaroo-in-tasmania-in-australia-maria-island-tasmania.jpg?s=612x612&amp;w=0&amp;k=20&amp;c=qIgIqpr4ULtE1ByOI9UWNW3AbLJKuA21fmOwXQCwHeM=" TargetMode="External"/><Relationship Id="rId1525" Type="http://schemas.openxmlformats.org/officeDocument/2006/relationships/hyperlink" Target="https://www.smartdrivetest.com/wp-content/uploads/2016/10/left_turning.png" TargetMode="External"/><Relationship Id="rId1732" Type="http://schemas.openxmlformats.org/officeDocument/2006/relationships/hyperlink" Target="https://www.austockphoto.com.au/imgcache/uploads/photos/compressed/cars-driving-through-traffic-lights-on-busy-urban-street-in-daytime-austockphoto-000044098.jpg" TargetMode="External"/><Relationship Id="rId24" Type="http://schemas.openxmlformats.org/officeDocument/2006/relationships/hyperlink" Target="https://images.pexels.com/photos/8387455/pexels-photo-8387455.jpeg" TargetMode="External"/><Relationship Id="rId2299" Type="http://schemas.openxmlformats.org/officeDocument/2006/relationships/hyperlink" Target="https://images.unsplash.com/photo-1559724777-252ff7ea187f?w=400&amp;auto=format&amp;fit=crop&amp;q=60&amp;ixlib=rb-4.1.0&amp;ixid=M3wxMjA3fDB8MHxwaG90by1yZWxhdGVkfDJ8fHxlbnwwfHx8fHw%3D" TargetMode="External"/><Relationship Id="rId173" Type="http://schemas.openxmlformats.org/officeDocument/2006/relationships/hyperlink" Target="https://st2.depositphotos.com/1236925/8010/i/380/depositphotos_80101804-stock-photo-young-man-driving-his-car.jpg" TargetMode="External"/><Relationship Id="rId380" Type="http://schemas.openxmlformats.org/officeDocument/2006/relationships/hyperlink" Target="https://c8.alamy.com/comp/2B7MNR0/berlin-germany-januari-1-2020-people-stand-on-a-pedestrian-crossing-the-green-light-on-the-traffic-light-2B7MNR0.jpg" TargetMode="External"/><Relationship Id="rId2061" Type="http://schemas.openxmlformats.org/officeDocument/2006/relationships/hyperlink" Target="https://cdn.pixabay.com/photo/2017/09/17/14/17/truck-2758534_640.jpg" TargetMode="External"/><Relationship Id="rId240" Type="http://schemas.openxmlformats.org/officeDocument/2006/relationships/hyperlink" Target="https://st5.depositphotos.com/82627138/78110/i/380/depositphotos_781109856-stock-photo-businesswoman-putting-makeup-while-sitting.jpg" TargetMode="External"/><Relationship Id="rId478" Type="http://schemas.openxmlformats.org/officeDocument/2006/relationships/hyperlink" Target="https://images.unsplash.com/photo-1642071241624-4886abb7a3e1?w=500&amp;auto=format&amp;fit=crop&amp;q=60&amp;ixlib=rb-4.1.0&amp;ixid=M3wxMjA3fDB8MHxzZWFyY2h8MTA4fHxwZWRlc3RyaWFuJTIwd2Fsa2luZyUyMGdyZWVuJTIwbGlnaHR8ZW58MHx8MHx8fDA%3D" TargetMode="External"/><Relationship Id="rId685" Type="http://schemas.openxmlformats.org/officeDocument/2006/relationships/hyperlink" Target="https://media.istockphoto.com/id/1212510558/photo/woman-in-green-dress-crossing-street-using-mobile-phone.jpg?s=612x612&amp;w=0&amp;k=20&amp;c=OgaBpsU17t0JuXeFfjJxlF7fEDOQz470_-HKro8siZc=" TargetMode="External"/><Relationship Id="rId892" Type="http://schemas.openxmlformats.org/officeDocument/2006/relationships/hyperlink" Target="https://st4.depositphotos.com/28951978/31584/i/450/depositphotos_315843620-stock-photo-road-highway-signs.jpg" TargetMode="External"/><Relationship Id="rId2159" Type="http://schemas.openxmlformats.org/officeDocument/2006/relationships/hyperlink" Target="https://www.shutterstock.com/image-photo/plasencia-spain-may-01-2022-260nw-2244693823.jpg" TargetMode="External"/><Relationship Id="rId100" Type="http://schemas.openxmlformats.org/officeDocument/2006/relationships/hyperlink" Target="https://cdn.prod.website-files.com/608c6d5b8637279ee57c44d9/626263396fca14f25eb9a229_Distracted%20Driving%20feature-min.png" TargetMode="External"/><Relationship Id="rId338" Type="http://schemas.openxmlformats.org/officeDocument/2006/relationships/hyperlink" Target="https://media.istockphoto.com/id/1165101627/photo/group-of-children-crossing-road-on-zebra-crossing.jpg?s=612x612&amp;w=0&amp;k=20&amp;c=lJqdR1cBzAXlx-LJ2Q4-K6XkBbsBUxOaHUudfbFXyvE=" TargetMode="External"/><Relationship Id="rId545" Type="http://schemas.openxmlformats.org/officeDocument/2006/relationships/hyperlink" Target="https://images.unsplash.com/photo-1530261316168-757e4c267137?w=500&amp;auto=format&amp;fit=crop&amp;q=60&amp;ixlib=rb-4.1.0&amp;ixid=M3wxMjA3fDB8MHxwaG90by1yZWxhdGVkfDE1fHx8ZW58MHx8fHx8" TargetMode="External"/><Relationship Id="rId752" Type="http://schemas.openxmlformats.org/officeDocument/2006/relationships/hyperlink" Target="https://encrypted-tbn0.gstatic.com/images?q=tbn:ANd9GcSvCQ2QfrPj0e0zIxf9oEcu_GXz_JtmnWdcZr95X7Rv4hr5ELi3JOYrZBkFmW76gPRyZdw&amp;usqp=CAU" TargetMode="External"/><Relationship Id="rId1175" Type="http://schemas.openxmlformats.org/officeDocument/2006/relationships/hyperlink" Target="https://media.istockphoto.com/id/1153263086/photo/tree-that-fell-after-a-storm-in-the-urban-area-old-tree-trunk-fallen-in-the-city.jpg?s=612x612&amp;w=0&amp;k=20&amp;c=Zy1KLvINV7yWoT-Wek9fgd5lUwxo6nV3RN6_ZwbxadI=" TargetMode="External"/><Relationship Id="rId1382" Type="http://schemas.openxmlformats.org/officeDocument/2006/relationships/hyperlink" Target="https://upload.wikimedia.org/wikipedia/commons/4/4c/4waystop.jpg" TargetMode="External"/><Relationship Id="rId2019" Type="http://schemas.openxmlformats.org/officeDocument/2006/relationships/hyperlink" Target="https://plus.unsplash.com/premium_photo-1661964199430-3e49c575b0b0?w=400&amp;auto=format&amp;fit=crop&amp;q=60&amp;ixlib=rb-4.1.0&amp;ixid=M3wxMjA3fDB8MHxwaG90by1yZWxhdGVkfDQ0fHx8ZW58MHx8fHx8" TargetMode="External"/><Relationship Id="rId2226" Type="http://schemas.openxmlformats.org/officeDocument/2006/relationships/hyperlink" Target="https://st4.depositphotos.com/7149852/30947/i/450/depositphotos_309477912-stock-photo-modern-car-with-luggage-box.jpg" TargetMode="External"/><Relationship Id="rId405" Type="http://schemas.openxmlformats.org/officeDocument/2006/relationships/hyperlink" Target="https://media.istockphoto.com/id/1143981682/photo/children-next-to-a-car-walking-through-pedestrian-crossing-to-the-school.jpg?s=612x612&amp;w=0&amp;k=20&amp;c=lDXFrGAhXDy_WJPOa4sQXcGm8snIOxSGvbnXM2NCEl8=" TargetMode="External"/><Relationship Id="rId612" Type="http://schemas.openxmlformats.org/officeDocument/2006/relationships/hyperlink" Target="https://www.delawareonline.com/gcdn/-mm-/85a62fc3530cf4ccf908caee8230a64765dd017b/c=879-723-3655-2292/local/-/media/2015/10/06/Wilmington/Wilmington/635797433497029497-100615-Pedestrians-SP102.JPG" TargetMode="External"/><Relationship Id="rId1035" Type="http://schemas.openxmlformats.org/officeDocument/2006/relationships/hyperlink" Target="https://media.istockphoto.com/id/1096519286/photo/inner-city-road.jpg?s=612x612&amp;w=0&amp;k=20&amp;c=JGrRLAuxUTNye8b7gYQFRPI7fpHp2L9f0YXUNKMANh0=" TargetMode="External"/><Relationship Id="rId1242" Type="http://schemas.openxmlformats.org/officeDocument/2006/relationships/hyperlink" Target="https://st4.depositphotos.com/2267983/31334/i/380/depositphotos_313344178-stock-photo-damaged-cars-on-the-road.jpg" TargetMode="External"/><Relationship Id="rId1687" Type="http://schemas.openxmlformats.org/officeDocument/2006/relationships/hyperlink" Target="https://media.istockphoto.com/id/115918871/photo/traffic-on-the-highway.jpg?s=612x612&amp;w=0&amp;k=20&amp;c=ukygLoucRNtLLEay-YuDa6hJIoFh0xGyzo8dI-VeTO8=" TargetMode="External"/><Relationship Id="rId1894" Type="http://schemas.openxmlformats.org/officeDocument/2006/relationships/hyperlink" Target="https://streetsmarts.initiatives.qld.gov.au/wp-content/uploads/2022/03/tmr_2019_TMR_Library_415.jpg" TargetMode="External"/><Relationship Id="rId917" Type="http://schemas.openxmlformats.org/officeDocument/2006/relationships/hyperlink" Target="https://media.istockphoto.com/id/905823954/photo/australian-road-trip-motion-blur-highway-landscape-at-dusk-with-mountain-ararat.jpg?s=612x612&amp;w=0&amp;k=20&amp;c=tnGB24J1Z6xeBitRwEJZezlQYUzSTPfAc7nWixKKAjQ=" TargetMode="External"/><Relationship Id="rId1102" Type="http://schemas.openxmlformats.org/officeDocument/2006/relationships/hyperlink" Target="https://media.istockphoto.com/id/1148691627/photo/macropus-giganteus-eastern-grey-kangaroo-in-tasmania-in-australia-maria-island-tasmania.jpg?s=612x612&amp;w=0&amp;k=20&amp;c=qIgIqpr4ULtE1ByOI9UWNW3AbLJKuA21fmOwXQCwHeM=" TargetMode="External"/><Relationship Id="rId1547" Type="http://schemas.openxmlformats.org/officeDocument/2006/relationships/hyperlink" Target="https://encrypted-tbn0.gstatic.com/images?q=tbn:ANd9GcT4WDq9AMHTE1Kgr6Gaih23w82YNwAomnxQKf7G9IadO_yhCKBpgChlsGcOaio6USeGX-k&amp;usqp=CAU" TargetMode="External"/><Relationship Id="rId1754" Type="http://schemas.openxmlformats.org/officeDocument/2006/relationships/hyperlink" Target="https://encrypted-tbn0.gstatic.com/images?q=tbn:ANd9GcQ63fE6spZHoPhZy-oYmT4ffXLGkbY50AGCGOe9TT6JD9x2gkWiCrj-mDiEm-0gW6xaivk&amp;usqp=CAU" TargetMode="External"/><Relationship Id="rId1961" Type="http://schemas.openxmlformats.org/officeDocument/2006/relationships/hyperlink" Target="https://media.istockphoto.com/id/1314167846/photo/rv-caravan-camping-at-the-caravan-park-camping-vacation-travel-concept.jpg?s=612x612&amp;w=0&amp;k=20&amp;c=W1nPWWFlcZXe9a4Q8gmOuwHokfudxJol7OkQQFOQYfs=" TargetMode="External"/><Relationship Id="rId46" Type="http://schemas.openxmlformats.org/officeDocument/2006/relationships/hyperlink" Target="https://st5.depositphotos.com/82627138/78110/i/380/depositphotos_781109856-stock-photo-businesswoman-putting-makeup-while-sitting.jpg" TargetMode="External"/><Relationship Id="rId1407" Type="http://schemas.openxmlformats.org/officeDocument/2006/relationships/hyperlink" Target="https://c8.alamy.com/comp/W7P782/file-car-drivers-wait-to-give-way-to-pedestrians-on-a-crosswalk-in-beijing-china-9-july-2013-beijing-traffic-police-thursday-15-june-2017-be-W7P782.jpg" TargetMode="External"/><Relationship Id="rId1614" Type="http://schemas.openxmlformats.org/officeDocument/2006/relationships/hyperlink" Target="https://www.austockphoto.com.au/imgcache/uploads/photos/compressed/cars-driving-through-traffic-lights-on-busy-urban-street-in-daytime-austockphoto-000044098.jpg" TargetMode="External"/><Relationship Id="rId1821" Type="http://schemas.openxmlformats.org/officeDocument/2006/relationships/hyperlink" Target="https://encrypted-tbn0.gstatic.com/images?q=tbn:ANd9GcS4VsR1-3hpcGO1v0omxVPJHogZBwC1O-UQIHMf_sSzztlSxwWsCXHrz6v31W4NLahPCTY&amp;usqp=CAU" TargetMode="External"/><Relationship Id="rId195" Type="http://schemas.openxmlformats.org/officeDocument/2006/relationships/hyperlink" Target="https://st.depositphotos.com/1116685/3497/i/380/depositphotos_34979839-stock-photo-businesswoman-drinking-coffee-while-driving.jpg" TargetMode="External"/><Relationship Id="rId1919" Type="http://schemas.openxmlformats.org/officeDocument/2006/relationships/hyperlink" Target="https://live.staticflickr.com/65535/50328552863_082a2f95a2_z.jpg" TargetMode="External"/><Relationship Id="rId2083" Type="http://schemas.openxmlformats.org/officeDocument/2006/relationships/hyperlink" Target="https://media.istockphoto.com/id/1087268414/photo/bale-truck-carrying-straw.jpg?s=612x612&amp;w=0&amp;k=20&amp;c=C-bcXCZeEJiCG5DeTMAAwu8H1GjD--FUnxwpKOSPxvg=" TargetMode="External"/><Relationship Id="rId2290" Type="http://schemas.openxmlformats.org/officeDocument/2006/relationships/hyperlink" Target="https://media.istockphoto.com/id/182170895/photo/transport-of-scrap-metal-and-iron.jpg?s=612x612&amp;w=0&amp;k=20&amp;c=2i2Lyvd04SQf9753IbuzD7XTgYVVVbbVx5bAJ_f7HPk=" TargetMode="External"/><Relationship Id="rId262" Type="http://schemas.openxmlformats.org/officeDocument/2006/relationships/hyperlink" Target="https://st5.depositphotos.com/36525122/71224/i/380/depositphotos_712248936-stock-photo-woman-driving-sending-voice-message.jpg" TargetMode="External"/><Relationship Id="rId567" Type="http://schemas.openxmlformats.org/officeDocument/2006/relationships/hyperlink" Target="https://media.istockphoto.com/id/1069139482/photo/family-crossing-crosswalk-in-the-city.jpg?s=612x612&amp;w=0&amp;k=20&amp;c=ELSL13y8tNga1TwcTQsxiPPbod01qHEOF6iDswq53Ok=" TargetMode="External"/><Relationship Id="rId1197" Type="http://schemas.openxmlformats.org/officeDocument/2006/relationships/hyperlink" Target="https://media.istockphoto.com/id/934265026/photo/road-is-paved-with-cracks-in-pits-and-puddles-from-snow-landscape-of-winter-road-in-cloudy.jpg?s=612x612&amp;w=0&amp;k=20&amp;c=QPu9-Q9e4lHW3BXYkONZ_lsT2oa-V1ALxlwJSn877Zg=" TargetMode="External"/><Relationship Id="rId2150" Type="http://schemas.openxmlformats.org/officeDocument/2006/relationships/hyperlink" Target="https://c8.alamy.com/comp/RMTBRR/overloaded-truck-on-a-country-road-in-rajasthan-trucks-carrying-heavy-loads-characterize-traffic-in-india-RMTBRR.jpg" TargetMode="External"/><Relationship Id="rId2248" Type="http://schemas.openxmlformats.org/officeDocument/2006/relationships/hyperlink" Target="https://st.depositphotos.com/8272416/59368/i/450/depositphotos_593680588-stock-photo-accra-ghana-april-2022-crowded.jpg" TargetMode="External"/><Relationship Id="rId122" Type="http://schemas.openxmlformats.org/officeDocument/2006/relationships/hyperlink" Target="https://encrypted-tbn0.gstatic.com/images?q=tbn:ANd9GcSBBAqHIsPq0uGWEjuW0SgHflSVqP24-lk3UY9ySmpTT-cfcHxt75kG_Ez7HYqzDMLv-1o&amp;usqp=CAU" TargetMode="External"/><Relationship Id="rId774" Type="http://schemas.openxmlformats.org/officeDocument/2006/relationships/hyperlink" Target="https://encrypted-tbn0.gstatic.com/images?q=tbn:ANd9GcQYHOAtC8Mr4h7s_hlM4iFKmcTHq1ui6W9woj2wgWWKzPWqiX_PKVMfHYmVT2I8fr2wE8s&amp;usqp=CAU" TargetMode="External"/><Relationship Id="rId981" Type="http://schemas.openxmlformats.org/officeDocument/2006/relationships/hyperlink" Target="https://st3.depositphotos.com/30030580/34805/i/450/depositphotos_348056820-stock-photo-the-m1-motorway-is-at.jpg" TargetMode="External"/><Relationship Id="rId1057" Type="http://schemas.openxmlformats.org/officeDocument/2006/relationships/hyperlink" Target="https://media.istockphoto.com/id/460744007/photo/night-driving.jpg?s=612x612&amp;w=0&amp;k=20&amp;c=-gzQPmNt91FhMccpYK93LiJsdtfeLFeazj-xST2bYQU=" TargetMode="External"/><Relationship Id="rId2010" Type="http://schemas.openxmlformats.org/officeDocument/2006/relationships/hyperlink" Target="https://images.unsplash.com/photo-1618582948377-cd7eb0e8cb14?w=400&amp;auto=format&amp;fit=crop&amp;q=60&amp;ixlib=rb-4.1.0&amp;ixid=M3wxMjA3fDB8MHxzZWFyY2h8MjR8fHRydWNrfGVufDB8fDB8fHww" TargetMode="External"/><Relationship Id="rId427" Type="http://schemas.openxmlformats.org/officeDocument/2006/relationships/hyperlink" Target="https://media.istockphoto.com/id/1207725287/photo/woman-with-mask-crossing-street.jpg?s=612x612&amp;w=0&amp;k=20&amp;c=mRwOSQJnl3sNw58Hp8UM9MMOqy4j6rZAv15w03yth5c=" TargetMode="External"/><Relationship Id="rId634" Type="http://schemas.openxmlformats.org/officeDocument/2006/relationships/hyperlink" Target="https://h7.alamy.com/comp/R7AAEA/jerusalem-israel-18052018-a-religious-jew-crosses-the-road-on-a-tramway-track-violation-of-traffic-rules-accident-R7AAEA.jpg" TargetMode="External"/><Relationship Id="rId841" Type="http://schemas.openxmlformats.org/officeDocument/2006/relationships/hyperlink" Target="https://st3.depositphotos.com/30030580/34805/i/450/depositphotos_348056820-stock-photo-the-m1-motorway-is-at.jpg" TargetMode="External"/><Relationship Id="rId1264" Type="http://schemas.openxmlformats.org/officeDocument/2006/relationships/hyperlink" Target="https://media.istockphoto.com/id/1440579448/photo/car-crash.jpg?s=612x612&amp;w=0&amp;k=20&amp;c=Y7ruaQuUtTx2MZJbQSUKjY5UOY_gfTnSNDFNSMbJEqU=" TargetMode="External"/><Relationship Id="rId1471" Type="http://schemas.openxmlformats.org/officeDocument/2006/relationships/hyperlink" Target="https://images.unsplash.com/photo-1613642190115-ff38824cb2e2?w=500&amp;auto=format&amp;fit=crop&amp;q=60&amp;ixlib=rb-4.1.0&amp;ixid=M3wxMjA3fDB8MHxzZWFyY2h8Mnx8Y2FyJTIwYXQlMjByZWQlMjBsaWdodHxlbnwwfHwwfHx8MA%3D%3D" TargetMode="External"/><Relationship Id="rId1569" Type="http://schemas.openxmlformats.org/officeDocument/2006/relationships/hyperlink" Target="https://media.istockphoto.com/id/542076936/photo/sydney-road-brunswick.jpg?s=612x612&amp;w=0&amp;k=20&amp;c=mlJ7tgkOqwfE-Xp3G5nm_oBEc27HoXE_amTr8cwW690=" TargetMode="External"/><Relationship Id="rId2108" Type="http://schemas.openxmlformats.org/officeDocument/2006/relationships/hyperlink" Target="https://media.istockphoto.com/id/1300549747/photo/mattress-on-car-roof-dacia-logan-carrying-mattresses-on-roof-in-bucharest-romania-2021.jpg?s=612x612&amp;w=0&amp;k=20&amp;c=vfIVDFnyWn_DNQ9DLOExrokzRfWlQyVAKmxblWQHOg0=" TargetMode="External"/><Relationship Id="rId2315" Type="http://schemas.openxmlformats.org/officeDocument/2006/relationships/hyperlink" Target="https://media.istockphoto.com/id/1347294000/photo/a-truck-filled-to-the-brim-transports-round-bales-of-hay.jpg?s=612x612&amp;w=0&amp;k=20&amp;c=PWrQJRRDk1pZ4KWHPFYQt_XNBTJ13FYAy4RhWCZ7rxU=" TargetMode="External"/><Relationship Id="rId701" Type="http://schemas.openxmlformats.org/officeDocument/2006/relationships/hyperlink" Target="https://media.istockphoto.com/id/930104238/photo/young-woman-looks-at-her-cellphone-and-does-not-pay-attention-to-traffic.jpg?s=612x612&amp;w=0&amp;k=20&amp;c=PFeGpUcjBVvIC2Tgr8IeVDxiiwmol6Zb9F1f_yc-zuc=" TargetMode="External"/><Relationship Id="rId939" Type="http://schemas.openxmlformats.org/officeDocument/2006/relationships/hyperlink" Target="https://media.istockphoto.com/id/1206248128/photo/beautiful-asphalt-road-with-turns-through-the-schwarzwald-forest-in-germany.jpg?s=612x612&amp;w=0&amp;k=20&amp;c=GiEBX8vDCsZp80RgCTnMAmaGNbcGBXCviIGQysDnpsg=" TargetMode="External"/><Relationship Id="rId1124" Type="http://schemas.openxmlformats.org/officeDocument/2006/relationships/hyperlink" Target="https://c8.alamy.com/comp/ARTWA5/flooded-road-traffic-cars-in-flood-waters-driving-in-flood-conditions-ARTWA5.jpg" TargetMode="External"/><Relationship Id="rId1331" Type="http://schemas.openxmlformats.org/officeDocument/2006/relationships/hyperlink" Target="https://media.istockphoto.com/id/601945516/photo/high-water-street-flooding.jpg?s=612x612&amp;w=0&amp;k=20&amp;c=V4260s88J7KjO52aK9GaZqZS6bckaQW8nlWmfNcqzMM=" TargetMode="External"/><Relationship Id="rId1776" Type="http://schemas.openxmlformats.org/officeDocument/2006/relationships/hyperlink" Target="https://images.carexpert.com.au/resize/960/-/app/uploads/2023/08/blocked-intersection-3.jpg" TargetMode="External"/><Relationship Id="rId1983" Type="http://schemas.openxmlformats.org/officeDocument/2006/relationships/hyperlink" Target="https://media.istockphoto.com/id/1388560519/photo/large-roof-box.jpg?s=612x612&amp;w=0&amp;k=20&amp;c=Tr8UzIOdr0GkCemz-maS0eIlRcztTSmHXTMZyoJxAA0=" TargetMode="External"/><Relationship Id="rId68" Type="http://schemas.openxmlformats.org/officeDocument/2006/relationships/hyperlink" Target="https://cdn.bookingtimes.com/Common/LoadImage?Id=98991&amp;v=1" TargetMode="External"/><Relationship Id="rId1429" Type="http://schemas.openxmlformats.org/officeDocument/2006/relationships/hyperlink" Target="https://www.travelandleisure.com/thmb/Q2RsMvQNGug4fX5IFuML-5coY5s=/1500x0/filters:no_upscale():max_bytes(150000):strip_icc()/TAL-crowds-WHENBRISBANE1124-9c0850cf61b74e0e96baf19a857524df.jpg" TargetMode="External"/><Relationship Id="rId1636" Type="http://schemas.openxmlformats.org/officeDocument/2006/relationships/hyperlink" Target="https://encrypted-tbn0.gstatic.com/images?q=tbn:ANd9GcS4VsR1-3hpcGO1v0omxVPJHogZBwC1O-UQIHMf_sSzztlSxwWsCXHrz6v31W4NLahPCTY&amp;usqp=CAU" TargetMode="External"/><Relationship Id="rId1843" Type="http://schemas.openxmlformats.org/officeDocument/2006/relationships/hyperlink" Target="https://www.arrowheavyvehicletraining.com.au/wp-content/uploads/2020/04/safe-load-program.jpg" TargetMode="External"/><Relationship Id="rId1703" Type="http://schemas.openxmlformats.org/officeDocument/2006/relationships/hyperlink" Target="https://images.unsplash.com/photo-1663406288629-4c3a2dd0b452?q=80&amp;w=1187&amp;auto=format&amp;fit=crop&amp;ixlib=rb-4.1.0&amp;ixid=M3wxMjA3fDB8MHxwaG90by1wYWdlfHx8fGVufDB8fHx8fA%3D%3D" TargetMode="External"/><Relationship Id="rId1910" Type="http://schemas.openxmlformats.org/officeDocument/2006/relationships/hyperlink" Target="https://c8.alamy.com/comp/R91MPF/big-rig-long-haul-powerful-semi-truck-with-empty-light-weight-aluminum-flat-bed-semi-trailer-running-on-the-winter-road-in-convoy-with-another-semi-tr-R91MPF.jpg" TargetMode="External"/><Relationship Id="rId284" Type="http://schemas.openxmlformats.org/officeDocument/2006/relationships/hyperlink" Target="https://media.istockphoto.com/id/1073413506/photo/traveling-with-my-best-friend.jpg?b=1&amp;s=612x612&amp;w=0&amp;k=20&amp;c=lvzmPaFUveIQUT6lNYrK1IIdLct2ZQZRvGrusOrcP7s=" TargetMode="External"/><Relationship Id="rId491" Type="http://schemas.openxmlformats.org/officeDocument/2006/relationships/hyperlink" Target="https://media.istockphoto.com/id/478525372/photo/woman-crossing-the-street-at-pedestrian-crossing.jpg?s=612x612&amp;w=0&amp;k=20&amp;c=eLWbO3l_mLfgUYDadVagNAKpeuJ_DuRFby3V8H3gqLQ=" TargetMode="External"/><Relationship Id="rId2172" Type="http://schemas.openxmlformats.org/officeDocument/2006/relationships/hyperlink" Target="https://media.istockphoto.com/id/177540596/photo/truck-travelling-on-roadway-heavily-overloaded-by-wood.jpg?s=612x612&amp;w=0&amp;k=20&amp;c=iy4LhQzbb7155A5Yl5ppMEFgAvj93G0ccIZqzPLAol0=" TargetMode="External"/><Relationship Id="rId144" Type="http://schemas.openxmlformats.org/officeDocument/2006/relationships/hyperlink" Target="https://upload.wikimedia.org/wikipedia/commons/thumb/4/42/Drinking_and_driving.jpg/960px-Drinking_and_driving.jpg" TargetMode="External"/><Relationship Id="rId589" Type="http://schemas.openxmlformats.org/officeDocument/2006/relationships/hyperlink" Target="https://media.cnn.com/api/v1/images/stellar/prod/gettyimages-1943409413.jpg" TargetMode="External"/><Relationship Id="rId796" Type="http://schemas.openxmlformats.org/officeDocument/2006/relationships/hyperlink" Target="https://content.api.news/v3/images/bin/67f13eb2acc18315091ae2ac07bcb666" TargetMode="External"/><Relationship Id="rId351" Type="http://schemas.openxmlformats.org/officeDocument/2006/relationships/hyperlink" Target="https://azstaaldotnewseus2.blob.core.windows.net/blobaldotnewsef8d948ead1/wp-content/uploads/2024/10/pedestrian-safety-image-scaled.jpg" TargetMode="External"/><Relationship Id="rId449" Type="http://schemas.openxmlformats.org/officeDocument/2006/relationships/hyperlink" Target="https://st2.depositphotos.com/1609055/7563/i/380/depositphotos_75638043-stock-photo-young-woman-crossing-road.jpg" TargetMode="External"/><Relationship Id="rId656" Type="http://schemas.openxmlformats.org/officeDocument/2006/relationships/hyperlink" Target="https://media.istockphoto.com/id/930104342/photo/young-woman-looks-at-her-cellphone-and-does-not-pay-attention-to-traffic.jpg?s=612x612&amp;w=0&amp;k=20&amp;c=EykyKNFg5DrP_OmoSOgHfgn9RvCCJUx6y2DwrNhw8C8=" TargetMode="External"/><Relationship Id="rId863" Type="http://schemas.openxmlformats.org/officeDocument/2006/relationships/hyperlink" Target="https://media.istockphoto.com/id/513106144/photo/traffic-on-highway-with-cars.jpg?s=612x612&amp;w=0&amp;k=20&amp;c=dXm6BH6TnIHFu202PlQJNdM12lZQBt11Tkbqx85rHdQ=" TargetMode="External"/><Relationship Id="rId1079" Type="http://schemas.openxmlformats.org/officeDocument/2006/relationships/hyperlink" Target="https://media.istockphoto.com/id/1776289528/photo/potholes-on-bad-asphalt-road-closeup.jpg?s=612x612&amp;w=0&amp;k=20&amp;c=1ChB5XXjK52dTOOPWXKawhvo_AsjZCfpTSdQ0DOWrOI=" TargetMode="External"/><Relationship Id="rId1286" Type="http://schemas.openxmlformats.org/officeDocument/2006/relationships/hyperlink" Target="https://st5.depositphotos.com/26285604/67760/i/380/depositphotos_677606274-stock-photo-porcupine-crossing-road-khao-yai.jpg" TargetMode="External"/><Relationship Id="rId1493" Type="http://schemas.openxmlformats.org/officeDocument/2006/relationships/hyperlink" Target="https://images.unsplash.com/photo-1699447089563-7ca8dcc7cf93?w=500&amp;auto=format&amp;fit=crop&amp;q=60&amp;ixlib=rb-4.1.0&amp;ixid=M3wxMjA3fDB8MHxzZWFyY2h8NDB8fGNhciUyMGF0JTIwcmVkJTIwbGlnaHR8ZW58MHx8MHx8fDA%3D" TargetMode="External"/><Relationship Id="rId2032" Type="http://schemas.openxmlformats.org/officeDocument/2006/relationships/hyperlink" Target="https://images.unsplash.com/photo-1721804295754-1905f69c86ad?w=400&amp;auto=format&amp;fit=crop&amp;q=60&amp;ixlib=rb-4.1.0&amp;ixid=M3wxMjA3fDB8MHxzZWFyY2h8MTF8fHRydWNrJTIwY2Fycnlpbmd8ZW58MHx8MHx8fDA%3D" TargetMode="External"/><Relationship Id="rId2337" Type="http://schemas.openxmlformats.org/officeDocument/2006/relationships/hyperlink" Target="https://www.shutterstock.com/image-photo/serakhs-turkmenistan-may-18-2007-260nw-1807857361.jpg" TargetMode="External"/><Relationship Id="rId211" Type="http://schemas.openxmlformats.org/officeDocument/2006/relationships/hyperlink" Target="https://st5.depositphotos.com/1020218/67914/i/380/depositphotos_679146880-stock-photo-close-woman-using-mobile-phone.jpg" TargetMode="External"/><Relationship Id="rId309" Type="http://schemas.openxmlformats.org/officeDocument/2006/relationships/hyperlink" Target="https://media.istockphoto.com/id/1415122300/photo/a-mother-and-her-son-crossing-road-on-way-to-school.jpg?s=612x612&amp;w=0&amp;k=20&amp;c=AWKWp2uR3tG0yv4LzR1qeN5btTQU7hiS-RMOhUa-pW4=" TargetMode="External"/><Relationship Id="rId516" Type="http://schemas.openxmlformats.org/officeDocument/2006/relationships/hyperlink" Target="https://media.istockphoto.com/id/2096267867/photo/a-father-and-son-crossing-a-crosswalk-while-holding-hands.jpg?s=612x612&amp;w=0&amp;k=20&amp;c=rBgbuLnX-WOI7lsBK1Bup8pBmESpEgxIvyC7gbJJDkw=" TargetMode="External"/><Relationship Id="rId1146" Type="http://schemas.openxmlformats.org/officeDocument/2006/relationships/hyperlink" Target="https://www.canberratimes.com.au/images/transform/v1/crop/frm/175630965/4690ef79-28e6-4d79-a8d2-263f1c852249.png/r0_135_1018_669_w1200_h630_fmax.jpg" TargetMode="External"/><Relationship Id="rId1798" Type="http://schemas.openxmlformats.org/officeDocument/2006/relationships/hyperlink" Target="https://images.thewest.com.au/publication/B88718076Z/1516244737073_GMH1DTA9G.1-0.jpg?imwidth=810&amp;impolicy=wan_v3" TargetMode="External"/><Relationship Id="rId723" Type="http://schemas.openxmlformats.org/officeDocument/2006/relationships/hyperlink" Target="https://media.istockphoto.com/id/1278097812/photo/girl-crossing-the-street-while-the-stoplight-is-showing-the-red-man-pedestrian-jaywalking.jpg?s=612x612&amp;w=0&amp;k=20&amp;c=PhNm6vhD91IkWs2A37aGiCFeD7wO_nf5W2rD3W3zuQ0=" TargetMode="External"/><Relationship Id="rId930" Type="http://schemas.openxmlformats.org/officeDocument/2006/relationships/hyperlink" Target="https://media.istockphoto.com/id/2178353298/photo/a-road-with-a-white-line-down-the-middle-and-a-yellow-line-on-the-side.jpg?s=612x612&amp;w=0&amp;k=20&amp;c=pqIhn96bLGu2jqyVNpkw8TtaEyDR2_L1cow82kwIf3s=" TargetMode="External"/><Relationship Id="rId1006" Type="http://schemas.openxmlformats.org/officeDocument/2006/relationships/hyperlink" Target="https://st5.depositphotos.com/6194606/81701/i/450/depositphotos_817010644-stock-photo-perth-australia-april-2025-mitchell.jpg" TargetMode="External"/><Relationship Id="rId1353" Type="http://schemas.openxmlformats.org/officeDocument/2006/relationships/hyperlink" Target="https://media.istockphoto.com/id/1464681993/photo/man-riding-motorcycle-with-helmet.jpg?s=1024x1024&amp;w=is&amp;k=20&amp;c=Ju-dugWp0nlHvZZGBh2rdCT0djRFuQTJ6QzDIsY8eSs=" TargetMode="External"/><Relationship Id="rId1560" Type="http://schemas.openxmlformats.org/officeDocument/2006/relationships/hyperlink" Target="https://media.istockphoto.com/id/1527377922/photo/congested-motorway-in-the-twilight.jpg?s=612x612&amp;w=0&amp;k=20&amp;c=1MDDDYhqEkGKwV4pvCjSGdMFIt6mXM7EOoECoRrg3rs=" TargetMode="External"/><Relationship Id="rId1658" Type="http://schemas.openxmlformats.org/officeDocument/2006/relationships/hyperlink" Target="https://2passdd.com/Arizona-Defensive-Driving-School/wp-content/uploads/2020/08/car-in-crosswalk.jpg" TargetMode="External"/><Relationship Id="rId1865" Type="http://schemas.openxmlformats.org/officeDocument/2006/relationships/hyperlink" Target="https://media.istockphoto.com/id/2155601198/photo/canoe-on-roof-top-of-car-van.jpg?s=612x612&amp;w=0&amp;k=20&amp;c=b5RIS1pVVzVSpcm51A5AqNbdhCLt_Y7BCr2EHgLVOUs=" TargetMode="External"/><Relationship Id="rId1213" Type="http://schemas.openxmlformats.org/officeDocument/2006/relationships/hyperlink" Target="https://media.istockphoto.com/id/618419138/photo/large-pit-on-the-old-road-in-the-winter.jpg?s=612x612&amp;w=0&amp;k=20&amp;c=-WE7kM5CHaMRQVFJYUYyq3Y3Nct20sGN43wWY3lBMmA=" TargetMode="External"/><Relationship Id="rId1420" Type="http://schemas.openxmlformats.org/officeDocument/2006/relationships/hyperlink" Target="https://www.highwaycode.com.ng/uploads/3/2/9/2/3292309/6877789.png?504" TargetMode="External"/><Relationship Id="rId1518" Type="http://schemas.openxmlformats.org/officeDocument/2006/relationships/hyperlink" Target="https://media.istockphoto.com/id/483375405/photo/car-at-red-light.jpg?s=612x612&amp;w=0&amp;k=20&amp;c=I2exUhQ61vG1-UEzPNxwxF3kimkRrM2phiy2DBUEUqs=" TargetMode="External"/><Relationship Id="rId1725" Type="http://schemas.openxmlformats.org/officeDocument/2006/relationships/hyperlink" Target="https://media.licdn.com/dms/image/v2/C5612AQEK8ndBs5M_lg/article-cover_image-shrink_720_1280/article-cover_image-shrink_720_1280/0/1547761671901?e=2147483647&amp;v=beta&amp;t=HlaQdZ9xFp-uD_Rx7UvWMaGKMmjwzHf7jUPEeXU5UR8" TargetMode="External"/><Relationship Id="rId1932" Type="http://schemas.openxmlformats.org/officeDocument/2006/relationships/hyperlink" Target="https://media.istockphoto.com/id/1465157700/photo/brightly-red-colored-semi-truck-speeding-on-a-two-lane-highway-with-cars-in-background-under.jpg?s=612x612&amp;w=0&amp;k=20&amp;c=cfbbPy2ylvFGRULNLGO_Ucm-C5DsOJMFHiZBdKGsq3c=" TargetMode="External"/><Relationship Id="rId17" Type="http://schemas.openxmlformats.org/officeDocument/2006/relationships/hyperlink" Target="https://encrypted-tbn0.gstatic.com/images?q=tbn:ANd9GcRMFQZRfP-wYoDwRnlbwmIozvrM1nhlIkz3eA&amp;s" TargetMode="External"/><Relationship Id="rId2194" Type="http://schemas.openxmlformats.org/officeDocument/2006/relationships/hyperlink" Target="https://st4.depositphotos.com/22797156/24497/i/450/depositphotos_244970934-stock-photo-landscape-moroccan-desert.jpg" TargetMode="External"/><Relationship Id="rId166" Type="http://schemas.openxmlformats.org/officeDocument/2006/relationships/hyperlink" Target="https://media.istockphoto.com/id/1639627914/photo/young-man-eating-a-sandwich-while-driving-a-car.webp?s=2048x2048&amp;w=is&amp;k=20&amp;c=0u3vyUzJSCNKGh9f5iMiJeBOViFjHL3NTQLsja5gVLc=" TargetMode="External"/><Relationship Id="rId373" Type="http://schemas.openxmlformats.org/officeDocument/2006/relationships/hyperlink" Target="https://live.staticflickr.com/148/332498793_c691a5507e_b.jpg" TargetMode="External"/><Relationship Id="rId580" Type="http://schemas.openxmlformats.org/officeDocument/2006/relationships/hyperlink" Target="https://media.istockphoto.com/id/1194518540/photo/children-jaywalking.jpg?s=612x612&amp;w=0&amp;k=20&amp;c=S5ELtbN0eplB3RuLP8x0r-WkmKJhvVZoi51gSFOvhw4=" TargetMode="External"/><Relationship Id="rId2054" Type="http://schemas.openxmlformats.org/officeDocument/2006/relationships/hyperlink" Target="https://media.istockphoto.com/id/2210808753/photo/a-truck-loaded-with-logs-drives-under-a-cloudy-blue-sky-logistic-and-transportation-of-timber.jpg?s=612x612&amp;w=0&amp;k=20&amp;c=m6zRFPyafOsIpUgFc31YpE2s4-H2SsHfv9UbZh_uX5Y=" TargetMode="External"/><Relationship Id="rId2261" Type="http://schemas.openxmlformats.org/officeDocument/2006/relationships/hyperlink" Target="https://st4.depositphotos.com/1001433/22244/i/450/depositphotos_222443128-stock-photo-india-pune-april-2018-indian.jpg" TargetMode="External"/><Relationship Id="rId1" Type="http://schemas.openxmlformats.org/officeDocument/2006/relationships/hyperlink" Target="https://static.vecteezy.com/system/resources/previews/045/478/110/large_2x/young-woman-using-mobile-phone-while-driving-car-on-highway-road-during-sunset-womandriver-has-accident-calling-with-smartphone-for-help-business-woman-busy-driving-concept-photo.jpg" TargetMode="External"/><Relationship Id="rId233" Type="http://schemas.openxmlformats.org/officeDocument/2006/relationships/hyperlink" Target="https://st5.depositphotos.com/38340270/78389/i/380/depositphotos_783890122-stock-photo-pretty-woman-her-30s-applying.jpg" TargetMode="External"/><Relationship Id="rId440" Type="http://schemas.openxmlformats.org/officeDocument/2006/relationships/hyperlink" Target="https://st2.depositphotos.com/1609055/7563/i/380/depositphotos_75638913-stock-photo-woman-crossing-street-at-pedestrian.jpg" TargetMode="External"/><Relationship Id="rId678" Type="http://schemas.openxmlformats.org/officeDocument/2006/relationships/hyperlink" Target="https://media.istockphoto.com/id/2156838758/photo/woman-strolls-with-phone-and-ice-cream.jpg?s=612x612&amp;w=0&amp;k=20&amp;c=2wloP8A1JOFCsm2VAQRmqhfzWmblhpDTw8D5uGFtTcI=" TargetMode="External"/><Relationship Id="rId885" Type="http://schemas.openxmlformats.org/officeDocument/2006/relationships/hyperlink" Target="https://media.istockphoto.com/id/184106933/photo/white-truck-leaving-montreal.jpg?s=612x612&amp;w=0&amp;k=20&amp;c=lgqE9qgwZF6yOKLFqtYqre2rivHfwZFE_bzM7TQ3zL8=" TargetMode="External"/><Relationship Id="rId1070" Type="http://schemas.openxmlformats.org/officeDocument/2006/relationships/hyperlink" Target="https://media.istockphoto.com/id/1151871082/photo/tree-that-fell-after-a-storm-in-the-urban-area-old-tree-trunk-fallen-in-the-city.jpg?s=612x612&amp;w=0&amp;k=20&amp;c=cR0pP-kTpPPJKCuR4qPD4PDNGyRqGVyP7uFd2jv0a60=" TargetMode="External"/><Relationship Id="rId2121" Type="http://schemas.openxmlformats.org/officeDocument/2006/relationships/hyperlink" Target="https://st4.depositphotos.com/1001433/22244/i/450/depositphotos_222443128-stock-photo-india-pune-april-2018-indian.jpg" TargetMode="External"/><Relationship Id="rId300" Type="http://schemas.openxmlformats.org/officeDocument/2006/relationships/hyperlink" Target="https://c8.alamy.com/comp/2B7MNR0/berlin-germany-januari-1-2020-people-stand-on-a-pedestrian-crossing-the-green-light-on-the-traffic-light-2B7MNR0.jpg" TargetMode="External"/><Relationship Id="rId538" Type="http://schemas.openxmlformats.org/officeDocument/2006/relationships/hyperlink" Target="https://images.unsplash.com/photo-1698374081634-cae02713b1a6?w=500&amp;auto=format&amp;fit=crop&amp;q=60&amp;ixlib=rb-4.1.0&amp;ixid=M3wxMjA3fDB8MHxzZWFyY2h8MTIwfHxwZWRlc3RyaWFuJTIwd2Fsa2luZyUyMGdyZWVuJTIwbGlnaHR8ZW58MHx8MHx8fDA%3D" TargetMode="External"/><Relationship Id="rId745" Type="http://schemas.openxmlformats.org/officeDocument/2006/relationships/hyperlink" Target="https://st4.depositphotos.com/21607914/24190/i/380/depositphotos_241900166-stock-photo-chinese-pedestrians-jaywalk-road-red.jpg" TargetMode="External"/><Relationship Id="rId952" Type="http://schemas.openxmlformats.org/officeDocument/2006/relationships/hyperlink" Target="https://media.istockphoto.com/id/1203937499/photo/city-road-through-modern-buildings-in-beijing.jpg?s=612x612&amp;w=0&amp;k=20&amp;c=2Mm1s2JFVVD7jv4sM4cHe8TvCe25xBe-w6W19rWzwQY=" TargetMode="External"/><Relationship Id="rId1168" Type="http://schemas.openxmlformats.org/officeDocument/2006/relationships/hyperlink" Target="https://media.istockphoto.com/id/137302464/photo/the-aftermath-of-severe-weather-on-a-road.jpg?s=612x612&amp;w=0&amp;k=20&amp;c=xVr4hrNYfL9VArNOT7tm-Ixxn6M4soWGMZsdOv4IF8A=" TargetMode="External"/><Relationship Id="rId1375" Type="http://schemas.openxmlformats.org/officeDocument/2006/relationships/hyperlink" Target="https://images.unsplash.com/photo-1699447089563-7ca8dcc7cf93?w=500&amp;auto=format&amp;fit=crop&amp;q=60&amp;ixlib=rb-4.1.0&amp;ixid=M3wxMjA3fDB8MHxzZWFyY2h8NDB8fGNhciUyMGF0JTIwcmVkJTIwbGlnaHR8ZW58MHx8MHx8fDA%3D" TargetMode="External"/><Relationship Id="rId1582" Type="http://schemas.openxmlformats.org/officeDocument/2006/relationships/hyperlink" Target="https://media.istockphoto.com/id/470842736/photo/city-highway.jpg?s=612x612&amp;w=0&amp;k=20&amp;c=tZjtatMw_Zd8mg3v6YEu9Lmr-Doo9Y1lhiUBLZnUlGM=" TargetMode="External"/><Relationship Id="rId2219" Type="http://schemas.openxmlformats.org/officeDocument/2006/relationships/hyperlink" Target="https://st.depositphotos.com/1005951/55876/i/450/depositphotos_558767506-stock-photo-very-large-roof-box-storage.jpg" TargetMode="External"/><Relationship Id="rId81" Type="http://schemas.openxmlformats.org/officeDocument/2006/relationships/hyperlink" Target="https://media.istockphoto.com/id/2157480611/photo/mother-and-son-behind-the-wheel-of-the-vehicle-and-speed-face-transportation-and-family.jpg?s=1024x1024&amp;w=is&amp;k=20&amp;c=4FTXONZ1lRzx3lgQeb3SDCIGUYzprDQUe6PmXshTd1w=" TargetMode="External"/><Relationship Id="rId605" Type="http://schemas.openxmlformats.org/officeDocument/2006/relationships/hyperlink" Target="https://cassisilawfirm.com/wp-content/uploads/2023/06/Pedestrian_Accident.jpg" TargetMode="External"/><Relationship Id="rId812" Type="http://schemas.openxmlformats.org/officeDocument/2006/relationships/hyperlink" Target="https://media.istockphoto.com/id/513106144/photo/traffic-on-highway-with-cars.jpg?s=612x612&amp;w=0&amp;k=20&amp;c=dXm6BH6TnIHFu202PlQJNdM12lZQBt11Tkbqx85rHdQ=" TargetMode="External"/><Relationship Id="rId1028" Type="http://schemas.openxmlformats.org/officeDocument/2006/relationships/hyperlink" Target="https://media.istockphoto.com/id/1148591236/photo/empty-asphalt-road-with-buildings-in-the-city.jpg?s=612x612&amp;w=0&amp;k=20&amp;c=VBLu8GxlUatECihoiORQTZJtpOJc2_-pAzvS2vyGZK0=" TargetMode="External"/><Relationship Id="rId1235" Type="http://schemas.openxmlformats.org/officeDocument/2006/relationships/hyperlink" Target="https://st.depositphotos.com/3041475/4225/i/380/depositphotos_42253593-stock-photo-earthquake.jpg" TargetMode="External"/><Relationship Id="rId1442" Type="http://schemas.openxmlformats.org/officeDocument/2006/relationships/hyperlink" Target="https://media.istockphoto.com/id/877227118/photo/young-girl-is-fastening-her-seat-belt-in-a-rainy-day.jpg?s=612x612&amp;w=0&amp;k=20&amp;c=hjB3M6HRJpa_Hv9L9t5zHu1N4NChm1mdrXBWUJbEpi4=" TargetMode="External"/><Relationship Id="rId1887" Type="http://schemas.openxmlformats.org/officeDocument/2006/relationships/hyperlink" Target="https://media.istockphoto.com/id/474505090/photo/lorry-with-hay-bales.jpg?s=612x612&amp;w=0&amp;k=20&amp;c=g4DqkKG1ORHA5fmdcqdQjGfeEt6uiuGfDovhLCR4TGY=" TargetMode="External"/><Relationship Id="rId1302" Type="http://schemas.openxmlformats.org/officeDocument/2006/relationships/hyperlink" Target="https://st3.depositphotos.com/29384342/35115/i/380/depositphotos_351153820-stock-photo-picturesque-view-countryside-scenery.jpg" TargetMode="External"/><Relationship Id="rId1747" Type="http://schemas.openxmlformats.org/officeDocument/2006/relationships/hyperlink" Target="https://s.yimg.com/ny/api/res/1.2/DEaCbq07ZnUKrqZa2ll90g--/YXBwaWQ9aGlnaGxhbmRlcjt3PTY0MDtoPTM0NQ--/https:/s.yimg.com/os/creatr-uploaded-images/2023-04/6f221f00-e3e0-11ed-be2e-782f0377c04c" TargetMode="External"/><Relationship Id="rId1954" Type="http://schemas.openxmlformats.org/officeDocument/2006/relationships/hyperlink" Target="https://media.istockphoto.com/id/1429557222/photo/caravan-travel.jpg?s=612x612&amp;w=0&amp;k=20&amp;c=7ksG9pI_rypcJtFkMKh26LLJY98FNsxt8jEVIe0RStU=" TargetMode="External"/><Relationship Id="rId39" Type="http://schemas.openxmlformats.org/officeDocument/2006/relationships/hyperlink" Target="https://st5.depositphotos.com/1020218/67914/i/380/depositphotos_679146880-stock-photo-close-woman-using-mobile-phone.jpg" TargetMode="External"/><Relationship Id="rId1607" Type="http://schemas.openxmlformats.org/officeDocument/2006/relationships/hyperlink" Target="https://images.unsplash.com/photo-1663406288629-4c3a2dd0b452?q=80&amp;w=1187&amp;auto=format&amp;fit=crop&amp;ixlib=rb-4.1.0&amp;ixid=M3wxMjA3fDB8MHxwaG90by1wYWdlfHx8fGVufDB8fHx8fA%3D%3D" TargetMode="External"/><Relationship Id="rId1814" Type="http://schemas.openxmlformats.org/officeDocument/2006/relationships/hyperlink" Target="https://encrypted-tbn0.gstatic.com/images?q=tbn:ANd9GcRL3QJh2rgRppDgmT1c9Dkk96zAVDLAcyKptrKrIvsNWbwiU3oH_7zjIVv9RRgHnBTN4PQ&amp;usqp=CAU" TargetMode="External"/><Relationship Id="rId188" Type="http://schemas.openxmlformats.org/officeDocument/2006/relationships/hyperlink" Target="https://st4.depositphotos.com/1635543/41922/i/380/depositphotos_419223430-stock-photo-asian-woman-eating-food-fastfood.jpg" TargetMode="External"/><Relationship Id="rId395" Type="http://schemas.openxmlformats.org/officeDocument/2006/relationships/hyperlink" Target="https://media.istockphoto.com/id/1138882552/photo/crossing-in-the-rain.jpg?s=612x612&amp;w=0&amp;k=20&amp;c=y9v3epb4_qWdHWvF_aVRBW5xZ4wTWZgkqUhaG9xH3Vo=" TargetMode="External"/><Relationship Id="rId2076" Type="http://schemas.openxmlformats.org/officeDocument/2006/relationships/hyperlink" Target="https://media.istockphoto.com/id/1340562165/photo/a-trailer-with-hay-ready-to-be-towed-zamora-spain.jpg?s=612x612&amp;w=0&amp;k=20&amp;c=Pg1GtgJawmQLip89KgajyZtE3vivZ08CNYdF7dDhFPw=" TargetMode="External"/><Relationship Id="rId2283" Type="http://schemas.openxmlformats.org/officeDocument/2006/relationships/hyperlink" Target="https://images.unsplash.com/photo-1593453956714-f33d116c223c?w=400&amp;auto=format&amp;fit=crop&amp;q=60&amp;ixlib=rb-4.1.0&amp;ixid=M3wxMjA3fDB8MHxzZWFyY2h8OHx8dHJ1Y2slMjBjYXJyeWluZ3xlbnwwfHwwfHx8MA%3D%3D" TargetMode="External"/><Relationship Id="rId255" Type="http://schemas.openxmlformats.org/officeDocument/2006/relationships/hyperlink" Target="https://st5.depositphotos.com/3773545/71750/i/380/depositphotos_717508808-stock-photo-young-woman-listening-voice-message.jpg" TargetMode="External"/><Relationship Id="rId462" Type="http://schemas.openxmlformats.org/officeDocument/2006/relationships/hyperlink" Target="https://plus.unsplash.com/premium_photo-1661671983641-8ec2c3fcd8cb?w=500&amp;auto=format&amp;fit=crop&amp;q=60&amp;ixlib=rb-4.1.0&amp;ixid=M3wxMjA3fDB8MHxzZWFyY2h8NjF8fHBlZGVzdHJpYW4lMjB3YWxraW5nJTIwZ3JlZW4lMjBsaWdodHxlbnwwfHwwfHx8MA%3D%3D" TargetMode="External"/><Relationship Id="rId1092" Type="http://schemas.openxmlformats.org/officeDocument/2006/relationships/hyperlink" Target="https://st4.depositphotos.com/2716431/31034/i/380/depositphotos_310340822-stock-photo-reindeers-crossing-a-road-in.jpg" TargetMode="External"/><Relationship Id="rId1397" Type="http://schemas.openxmlformats.org/officeDocument/2006/relationships/hyperlink" Target="https://media.istockphoto.com/id/470842736/photo/city-highway.jpg?s=612x612&amp;w=0&amp;k=20&amp;c=tZjtatMw_Zd8mg3v6YEu9Lmr-Doo9Y1lhiUBLZnUlGM=" TargetMode="External"/><Relationship Id="rId2143" Type="http://schemas.openxmlformats.org/officeDocument/2006/relationships/hyperlink" Target="https://c8.alamy.com/comp/RFPA79/load-vehicles-can-sometimes-create-traffic-hazards-RFPA79.jpg" TargetMode="External"/><Relationship Id="rId2350" Type="http://schemas.openxmlformats.org/officeDocument/2006/relationships/hyperlink" Target="https://images.unsplash.com/photo-1724044443584-ec54bd0f24c7?w=500&amp;auto=format&amp;fit=crop&amp;q=60&amp;ixlib=rb-4.1.0&amp;ixid=M3wxMjA3fDB8MHxwaG90by1yZWxhdGVkfDF8fHxlbnwwfHx8fHw%3D" TargetMode="External"/><Relationship Id="rId115" Type="http://schemas.openxmlformats.org/officeDocument/2006/relationships/hyperlink" Target="https://encrypted-tbn0.gstatic.com/images?q=tbn:ANd9GcQHT8CiwIYQlBMMMwkmE2Gk0G77PMfEoeJcAaZVgyFGtq33nRDSqYR5_6aYe4kZyUAVqNQ&amp;usqp=CAU" TargetMode="External"/><Relationship Id="rId322" Type="http://schemas.openxmlformats.org/officeDocument/2006/relationships/hyperlink" Target="https://images.unsplash.com/photo-1610210734809-1beaf51099c5?w=500&amp;auto=format&amp;fit=crop&amp;q=60&amp;ixlib=rb-4.1.0&amp;ixid=M3wxMjA3fDB8MHxzZWFyY2h8NzF8fHBlZGVzdHJpYW4lMjB3YWxraW5nJTIwZ3JlZW4lMjBsaWdodHxlbnwwfHwwfHx8MA%3D%3D" TargetMode="External"/><Relationship Id="rId767" Type="http://schemas.openxmlformats.org/officeDocument/2006/relationships/hyperlink" Target="https://jbsolicitors.com.au/wp-content/uploads/2023/02/jaywalking-featured.jpg" TargetMode="External"/><Relationship Id="rId974" Type="http://schemas.openxmlformats.org/officeDocument/2006/relationships/hyperlink" Target="https://st2.depositphotos.com/1035886/6468/i/450/depositphotos_64680483-stock-photo-perth-freeway-traffic.jpg" TargetMode="External"/><Relationship Id="rId2003" Type="http://schemas.openxmlformats.org/officeDocument/2006/relationships/hyperlink" Target="https://images.unsplash.com/photo-1501700493788-fa1a4fc9fe62?w=400&amp;auto=format&amp;fit=crop&amp;q=60&amp;ixlib=rb-4.1.0&amp;ixid=M3wxMjA3fDB8MHxzZWFyY2h8NHx8dHJ1Y2t8ZW58MHx8MHx8fDA%3D" TargetMode="External"/><Relationship Id="rId2210" Type="http://schemas.openxmlformats.org/officeDocument/2006/relationships/hyperlink" Target="https://st2.depositphotos.com/1471096/48330/i/450/depositphotos_483307244-stock-photo-colorful-car-loaded-things-road.jpg" TargetMode="External"/><Relationship Id="rId627" Type="http://schemas.openxmlformats.org/officeDocument/2006/relationships/hyperlink" Target="https://www.marietta-chiropractor.com/wp-content/uploads/sites/11/2022/09/Distracted-Walking.jpg" TargetMode="External"/><Relationship Id="rId834" Type="http://schemas.openxmlformats.org/officeDocument/2006/relationships/hyperlink" Target="https://media.istockphoto.com/id/1203937499/photo/city-road-through-modern-buildings-in-beijing.jpg?s=612x612&amp;w=0&amp;k=20&amp;c=2Mm1s2JFVVD7jv4sM4cHe8TvCe25xBe-w6W19rWzwQY=" TargetMode="External"/><Relationship Id="rId1257" Type="http://schemas.openxmlformats.org/officeDocument/2006/relationships/hyperlink" Target="https://media.istockphoto.com/id/157527693/photo/traffic-accident.jpg?s=612x612&amp;w=0&amp;k=20&amp;c=VkJmDeJjvcUzWkR75Axc786TzY1hNkmPaQqKP6PVW84=" TargetMode="External"/><Relationship Id="rId1464" Type="http://schemas.openxmlformats.org/officeDocument/2006/relationships/hyperlink" Target="https://media.istockphoto.com/id/173606170/photo/cars-and-winter.jpg?s=612x612&amp;w=0&amp;k=20&amp;c=Kx1FFqI9phN87xW6hcSX0WLeZyTqn3bCQdr-Jccyec8=" TargetMode="External"/><Relationship Id="rId1671" Type="http://schemas.openxmlformats.org/officeDocument/2006/relationships/hyperlink" Target="https://www.hikvision.com/content/dam/hikvision/en/marketing/image/solution/solutions-by-industry/traffic/traffic-violation-management/1-reducing-enforcement-disputes.jpg" TargetMode="External"/><Relationship Id="rId2308" Type="http://schemas.openxmlformats.org/officeDocument/2006/relationships/hyperlink" Target="https://media.istockphoto.com/id/2156661569/photo/straw-transport-somewhere-in-the-central-part-of-morocco.jpg?s=612x612&amp;w=0&amp;k=20&amp;c=01yJ-5ZapNo3FquzD18eEh0H738o5Zv2nv51dYEMXGM=" TargetMode="External"/><Relationship Id="rId901" Type="http://schemas.openxmlformats.org/officeDocument/2006/relationships/hyperlink" Target="https://media.istockphoto.com/id/626590212/photo/straight-line-australian-highway-in-rural-outback.jpg?s=612x612&amp;w=0&amp;k=20&amp;c=jZQ21WENfqvsjyzzDaO4ajf98w8eVkQWCSgsa7fb_Ns=" TargetMode="External"/><Relationship Id="rId1117" Type="http://schemas.openxmlformats.org/officeDocument/2006/relationships/hyperlink" Target="https://cdn.prod.website-files.com/633a774cc6e89f417caf380c/6372e10439e184188c00cdfd_JtnzKxnQwo1b2VjRltx5Rgr5hvWGVT7JJFaSoZzuPRJ5ApmuXQYMppQSe358gj3q7Csm9KNTdxnKUagaXnS8Ca9DC_lmqcu17Hn7u-z9TU_STRHOqFF8L8e0j1gkc3lLm4KQbIsOhnoLTbryNUwsNfa8lhJuRX3ZvFSfCR-uEdM9_tICiWPUMU8w8lktjA.jpeg" TargetMode="External"/><Relationship Id="rId1324" Type="http://schemas.openxmlformats.org/officeDocument/2006/relationships/hyperlink" Target="https://media.istockphoto.com/id/1167145186/photo/koala-sitting-in-the-middle-of-the-road.jpg?s=612x612&amp;w=0&amp;k=20&amp;c=2WL-Mv4DE2kGi2QTBvrCTdYuSgO44zkvl_40kt33PHs=" TargetMode="External"/><Relationship Id="rId1531" Type="http://schemas.openxmlformats.org/officeDocument/2006/relationships/hyperlink" Target="https://cyclingsavvy.org/wp-content/uploads/2022/12/multiple-yelds.jpg" TargetMode="External"/><Relationship Id="rId1769" Type="http://schemas.openxmlformats.org/officeDocument/2006/relationships/hyperlink" Target="https://thumbs.dreamstime.com/b/illegal-parking-pedestrian-crossing-violation-rules-rights-pedestrians-54732203.jpg" TargetMode="External"/><Relationship Id="rId1976" Type="http://schemas.openxmlformats.org/officeDocument/2006/relationships/hyperlink" Target="https://media.istockphoto.com/id/467838539/photo/car-with-kayak-canoe-on-top-blue-sky-active-lifestyle.jpg?s=612x612&amp;w=0&amp;k=20&amp;c=KtkCc8AZIL3_rmKzib3tIBGYaM3s5R_N5BQWPrcAcRA=" TargetMode="External"/><Relationship Id="rId30" Type="http://schemas.openxmlformats.org/officeDocument/2006/relationships/hyperlink" Target="https://st3.depositphotos.com/1761743/16656/i/380/depositphotos_166565754-stock-photo-man-eating-an-hamburger-while.jpg" TargetMode="External"/><Relationship Id="rId1629" Type="http://schemas.openxmlformats.org/officeDocument/2006/relationships/hyperlink" Target="https://carfromjapan.com/wp-content/uploads/2020/08/How-to-Stay-Centered-in-Your-Lane.jpg" TargetMode="External"/><Relationship Id="rId1836" Type="http://schemas.openxmlformats.org/officeDocument/2006/relationships/hyperlink" Target="https://encrypted-tbn0.gstatic.com/images?q=tbn:ANd9GcTu7Iu_TLmf4qHybpaVIhcsvQF5PsJ7aNM5O4YJiccNAvJgSVPZZya3ZxfGlIUlS87HPQE&amp;usqp=CAU" TargetMode="External"/><Relationship Id="rId1903" Type="http://schemas.openxmlformats.org/officeDocument/2006/relationships/hyperlink" Target="https://img.rasset.ie/00116b54-500.jpg" TargetMode="External"/><Relationship Id="rId2098" Type="http://schemas.openxmlformats.org/officeDocument/2006/relationships/hyperlink" Target="https://i.tribune.com.pk/media/images/934725-van-1439066225/934725-van-1439066225.JPG" TargetMode="External"/><Relationship Id="rId277" Type="http://schemas.openxmlformats.org/officeDocument/2006/relationships/hyperlink" Target="https://st4.depositphotos.com/4218696/27231/i/380/depositphotos_272314514-stock-photo-african-american-couple-using-navigator.jpg" TargetMode="External"/><Relationship Id="rId484" Type="http://schemas.openxmlformats.org/officeDocument/2006/relationships/hyperlink" Target="https://images.pexels.com/photos/31585198/pexels-photo-31585198.jpeg" TargetMode="External"/><Relationship Id="rId2165" Type="http://schemas.openxmlformats.org/officeDocument/2006/relationships/hyperlink" Target="https://www.team-bhp.com/forum/attachments/road-safety/2519250d1697766847-cargo-protruding-outside-trucks-height-width-traffic-hazard-killer-fb_img_1697766480549.jpg" TargetMode="External"/><Relationship Id="rId137" Type="http://schemas.openxmlformats.org/officeDocument/2006/relationships/hyperlink" Target="https://encrypted-tbn0.gstatic.com/images?q=tbn:ANd9GcSQi60NR5C_mhIOdPKqpLY6ZCF3S8bse7oQFAB72sXYGRrprtMRyq1ahILc-reoBbGvb-E&amp;usqp=CAU" TargetMode="External"/><Relationship Id="rId344" Type="http://schemas.openxmlformats.org/officeDocument/2006/relationships/hyperlink" Target="https://mlazgc8qzi72.i.optimole.com/w:1080/h:1080/q:mauto/ig:avif/https:/national-claims.co.uk/wp-content/uploads/2024/03/behzad-ghaffarian-GdRI9Bh2nJo-unsplash-1.jpg" TargetMode="External"/><Relationship Id="rId691" Type="http://schemas.openxmlformats.org/officeDocument/2006/relationships/hyperlink" Target="https://media.istockphoto.com/id/2156838764/photo/woman-eating-ice-cream-in-urban-setting.jpg?s=612x612&amp;w=0&amp;k=20&amp;c=xav-nGRyWU4Q4oIdN6TD0w1pSkbPLdK8sLiRuXyBiak=" TargetMode="External"/><Relationship Id="rId789" Type="http://schemas.openxmlformats.org/officeDocument/2006/relationships/hyperlink" Target="https://st4.depositphotos.com/21607914/23781/i/380/depositphotos_237818180-stock-photo-file-chinese-jaywalkers-walk-road.jpg" TargetMode="External"/><Relationship Id="rId996" Type="http://schemas.openxmlformats.org/officeDocument/2006/relationships/hyperlink" Target="https://st3.depositphotos.com/1585997/31917/i/450/depositphotos_319175698-stock-photo-traffic-to-perth-central-financial.jpg" TargetMode="External"/><Relationship Id="rId2025" Type="http://schemas.openxmlformats.org/officeDocument/2006/relationships/hyperlink" Target="https://media.istockphoto.com/id/1289928297/photo/white-semi-trailer-truck-heading-down-a-four-lane-highway-at-dusk.jpg?s=612x612&amp;w=0&amp;k=20&amp;c=KrNejbm8JEJ4JxCzQrJp_pJezj-w--uElAIg0QrQo0c=" TargetMode="External"/><Relationship Id="rId551" Type="http://schemas.openxmlformats.org/officeDocument/2006/relationships/hyperlink" Target="https://cassisilawfirm.com/wp-content/uploads/2023/06/Pedestrian_Accident.jpg" TargetMode="External"/><Relationship Id="rId649" Type="http://schemas.openxmlformats.org/officeDocument/2006/relationships/hyperlink" Target="https://media.istockphoto.com/id/1181241726/photo/young-man-walking-at-crosswalk-on-a-sao-paulos-street.jpg?s=612x612&amp;w=0&amp;k=20&amp;c=BbYxvaMZazg6gppfk1l9Rj5Q25f6hsaA3NbBcmPdGsM=" TargetMode="External"/><Relationship Id="rId856" Type="http://schemas.openxmlformats.org/officeDocument/2006/relationships/hyperlink" Target="https://media.istockphoto.com/id/619498880/photo/professional-use-auto-advertising-backplate.jpg?s=612x612&amp;w=0&amp;k=20&amp;c=Z0Qk6gE9sUzjbavK_eUg0oQWB2Jw83RpAA3l1mq6UGg=" TargetMode="External"/><Relationship Id="rId1181" Type="http://schemas.openxmlformats.org/officeDocument/2006/relationships/hyperlink" Target="https://media.istockphoto.com/id/488493470/photo/wind-storm-damage.jpg?s=612x612&amp;w=0&amp;k=20&amp;c=G4CClLf4XXmKi5pnLF_-LloAjG56rONVgFFzuLCOF7o=" TargetMode="External"/><Relationship Id="rId1279" Type="http://schemas.openxmlformats.org/officeDocument/2006/relationships/hyperlink" Target="https://st4.depositphotos.com/27201292/37854/i/380/depositphotos_378541584-stock-photo-deer-passing-street-surrounded-people.jpg" TargetMode="External"/><Relationship Id="rId1486" Type="http://schemas.openxmlformats.org/officeDocument/2006/relationships/hyperlink" Target="https://images.unsplash.com/photo-1613650427984-be2f16df8075?w=500&amp;auto=format&amp;fit=crop&amp;q=60&amp;ixlib=rb-4.1.0&amp;ixid=M3wxMjA3fDB8MHxwaG90by1yZWxhdGVkfDF8fHxlbnwwfHx8fHw%3D" TargetMode="External"/><Relationship Id="rId2232" Type="http://schemas.openxmlformats.org/officeDocument/2006/relationships/hyperlink" Target="https://st5.depositphotos.com/31126772/74815/i/450/depositphotos_748153816-stock-photo-thule-wingbar-evo-roof-bike.jpg" TargetMode="External"/><Relationship Id="rId204" Type="http://schemas.openxmlformats.org/officeDocument/2006/relationships/hyperlink" Target="https://st2.depositphotos.com/14799452/47325/i/380/depositphotos_473251102-stock-photo-happy-woman-eating-food-drinking.jpg" TargetMode="External"/><Relationship Id="rId411" Type="http://schemas.openxmlformats.org/officeDocument/2006/relationships/hyperlink" Target="https://media.istockphoto.com/id/478525372/photo/woman-crossing-the-street-at-pedestrian-crossing.jpg?s=612x612&amp;w=0&amp;k=20&amp;c=eLWbO3l_mLfgUYDadVagNAKpeuJ_DuRFby3V8H3gqLQ=" TargetMode="External"/><Relationship Id="rId509" Type="http://schemas.openxmlformats.org/officeDocument/2006/relationships/hyperlink" Target="https://media.istockphoto.com/id/1265396637/photo/woman-man-and-child-cross-road-at-crosswalk.jpg?s=612x612&amp;w=0&amp;k=20&amp;c=S6ED1VMafFotHBgiE_kU7eIyD57LoiLs8HmFWl5CQp4=" TargetMode="External"/><Relationship Id="rId1041" Type="http://schemas.openxmlformats.org/officeDocument/2006/relationships/hyperlink" Target="https://media.istockphoto.com/id/619498880/photo/professional-use-auto-advertising-backplate.jpg?s=612x612&amp;w=0&amp;k=20&amp;c=Z0Qk6gE9sUzjbavK_eUg0oQWB2Jw83RpAA3l1mq6UGg=" TargetMode="External"/><Relationship Id="rId1139" Type="http://schemas.openxmlformats.org/officeDocument/2006/relationships/hyperlink" Target="https://www.getready.qld.gov.au/sites/default/files/styles/hero_image_desktop_basic/public/2019-09/Wolfram%20Creek%20Road%20%282%29.jpg?itok=2en5pyhX" TargetMode="External"/><Relationship Id="rId1346" Type="http://schemas.openxmlformats.org/officeDocument/2006/relationships/hyperlink" Target="https://media.istockphoto.com/id/1776797587/photo/a-car-sits-in-the-street-after-water-was-flooding-it.jpg?s=612x612&amp;w=0&amp;k=20&amp;c=iZ4E-JtDawtQ7srEghYwtFrZ9PmTf71K7-LzljgPLmw=" TargetMode="External"/><Relationship Id="rId1693" Type="http://schemas.openxmlformats.org/officeDocument/2006/relationships/hyperlink" Target="https://media.istockphoto.com/id/1214893505/photo/people-without-helmet-violating-traffic-rules-boy-wearing-an-n-95-face-mask-sits-behind-his.jpg?s=612x612&amp;w=0&amp;k=20&amp;c=V9IEmbVA2J8XgTkKKLYM0fwh3Q9OoTGHKMeoH6Lg1oQ=" TargetMode="External"/><Relationship Id="rId1998" Type="http://schemas.openxmlformats.org/officeDocument/2006/relationships/hyperlink" Target="https://media.istockphoto.com/id/2171315771/photo/car-for-traveling-with-a-mountain-road.jpg?s=612x612&amp;w=0&amp;k=20&amp;c=eirBpiMqIcKhocic8rMCULfiGGIwz5IyDRoFnkV617o=" TargetMode="External"/><Relationship Id="rId716" Type="http://schemas.openxmlformats.org/officeDocument/2006/relationships/hyperlink" Target="https://media.istockphoto.com/id/1625170893/photo/people-jaywalking-in-new-york-city.jpg?s=612x612&amp;w=0&amp;k=20&amp;c=mzG9kd2F9-yyGHGi69fEsARyA6TzOuJxC-qTHez8pzI=" TargetMode="External"/><Relationship Id="rId923" Type="http://schemas.openxmlformats.org/officeDocument/2006/relationships/hyperlink" Target="https://media.istockphoto.com/id/537615269/photo/double-yellow-lines-on-asphalt-road.jpg?s=612x612&amp;w=0&amp;k=20&amp;c=wsLidRjQilmn_QV-VwrJHGXAKqf1K0MdYTdE3dxxr74=" TargetMode="External"/><Relationship Id="rId1553" Type="http://schemas.openxmlformats.org/officeDocument/2006/relationships/hyperlink" Target="https://media.istockphoto.com/id/159406920/photo/aerial-view-of-cars-in-traffic.jpg?s=612x612&amp;w=0&amp;k=20&amp;c=2BeXnk1EppE_mfWgYFqoXidmge0uAhSk9gl8bbtHyF8=" TargetMode="External"/><Relationship Id="rId1760" Type="http://schemas.openxmlformats.org/officeDocument/2006/relationships/hyperlink" Target="https://encrypted-tbn0.gstatic.com/images?q=tbn:ANd9GcStdyLZnMH5pHhy7AptoreqSuTJULO_9-8pjaJyvlY2wwmD6Q9lQkBs7wocmVv3TZjiEQM&amp;usqp=CAU" TargetMode="External"/><Relationship Id="rId1858" Type="http://schemas.openxmlformats.org/officeDocument/2006/relationships/hyperlink" Target="https://media.istockphoto.com/id/1254690616/photo/car-and-caravan-on-holiday.jpg?s=612x612&amp;w=0&amp;k=20&amp;c=8-Uhp11nEE5TwOPn8WYr1kRM_BBn6IeT_MiALe6Wmos=" TargetMode="External"/><Relationship Id="rId52" Type="http://schemas.openxmlformats.org/officeDocument/2006/relationships/hyperlink" Target="https://st2.depositphotos.com/1806242/5531/i/380/depositphotos_55319041-stock-photo-young-man-reading-and-drinking.jpg" TargetMode="External"/><Relationship Id="rId1206" Type="http://schemas.openxmlformats.org/officeDocument/2006/relationships/hyperlink" Target="https://media.istockphoto.com/id/2164167925/photo/puddles-and-damaged-asphalt-road-edge-sunny-day.jpg?s=612x612&amp;w=0&amp;k=20&amp;c=Afe1mWHu2PtIe8m_44vlt0f6Wg6u2zqK_8ogGeveex8=" TargetMode="External"/><Relationship Id="rId1413" Type="http://schemas.openxmlformats.org/officeDocument/2006/relationships/hyperlink" Target="https://media.istockphoto.com/id/1219457616/photo/hwy-sy-west-dist-2-bridge-jam.jpg?s=1024x1024&amp;w=is&amp;k=20&amp;c=i-gmb0ZHC6UiaJPTlm_wXVYd3nBsHqKevm8Jyhbex-o=" TargetMode="External"/><Relationship Id="rId1620" Type="http://schemas.openxmlformats.org/officeDocument/2006/relationships/hyperlink" Target="https://encrypted-tbn0.gstatic.com/images?q=tbn:ANd9GcQ63fE6spZHoPhZy-oYmT4ffXLGkbY50AGCGOe9TT6JD9x2gkWiCrj-mDiEm-0gW6xaivk&amp;usqp=CAU" TargetMode="External"/><Relationship Id="rId1718" Type="http://schemas.openxmlformats.org/officeDocument/2006/relationships/hyperlink" Target="https://injurylawyer.com/wp-content/uploads/2019/01/shutterstock_1219713949-e1546541020647.jpg.webp" TargetMode="External"/><Relationship Id="rId1925" Type="http://schemas.openxmlformats.org/officeDocument/2006/relationships/hyperlink" Target="https://live.staticflickr.com/65535/52119191050_87bb9652b4_z.jpg" TargetMode="External"/><Relationship Id="rId299" Type="http://schemas.openxmlformats.org/officeDocument/2006/relationships/hyperlink" Target="https://freight.cargo.site/t/original/i/34bf443e9c7940adf00d264f4b3c422233e1dc9ef4ffcb2a31eb1adeff92be95/Stands_Cover.jpg" TargetMode="External"/><Relationship Id="rId2187" Type="http://schemas.openxmlformats.org/officeDocument/2006/relationships/hyperlink" Target="https://st.depositphotos.com/1019221/1212/i/450/depositphotos_12121958-stock-photo-africa.jpg" TargetMode="External"/><Relationship Id="rId159" Type="http://schemas.openxmlformats.org/officeDocument/2006/relationships/hyperlink" Target="https://images.pexels.com/photos/4084276/pexels-photo-4084276.jpeg" TargetMode="External"/><Relationship Id="rId366" Type="http://schemas.openxmlformats.org/officeDocument/2006/relationships/hyperlink" Target="https://c8.alamy.com/comp/EATT1X/a-mother-crosses-a-busy-road-with-her-son-on-his-first-day-of-school-EATT1X.jpg" TargetMode="External"/><Relationship Id="rId573" Type="http://schemas.openxmlformats.org/officeDocument/2006/relationships/hyperlink" Target="https://media.istockphoto.com/id/2156838764/photo/woman-eating-ice-cream-in-urban-setting.jpg?s=612x612&amp;w=0&amp;k=20&amp;c=xav-nGRyWU4Q4oIdN6TD0w1pSkbPLdK8sLiRuXyBiak=" TargetMode="External"/><Relationship Id="rId780" Type="http://schemas.openxmlformats.org/officeDocument/2006/relationships/hyperlink" Target="https://media.istockphoto.com/id/539243306/photo/cheerful-young-woman-standing-on-street-and-talking-at-phone.jpg?s=612x612&amp;w=0&amp;k=20&amp;c=lXkF2SFIouc_-uimeMmBvjsIR7_MFCHAveAaGZDutmQ=" TargetMode="External"/><Relationship Id="rId2047" Type="http://schemas.openxmlformats.org/officeDocument/2006/relationships/hyperlink" Target="https://media.istockphoto.com/id/1279002529/photo/long-haul-semi-truck-on-a-rural-western-usa-interstate-highway.jpg?s=612x612&amp;w=0&amp;k=20&amp;c=whigLZsLjC6BLRWcEMdgqRt-sZk70T39U0tEDg7NVss=" TargetMode="External"/><Relationship Id="rId2254" Type="http://schemas.openxmlformats.org/officeDocument/2006/relationships/hyperlink" Target="https://st3.depositphotos.com/29384342/33526/i/450/depositphotos_335266756-stock-photo-car-desert.jpg" TargetMode="External"/><Relationship Id="rId226" Type="http://schemas.openxmlformats.org/officeDocument/2006/relationships/hyperlink" Target="https://st4.depositphotos.com/1192060/38820/i/380/depositphotos_388208736-stock-photo-woman-applying-lipstick-while-driving.jpg" TargetMode="External"/><Relationship Id="rId433" Type="http://schemas.openxmlformats.org/officeDocument/2006/relationships/hyperlink" Target="https://media.istockphoto.com/id/596792426/photo/shinjuku-shopping-district-tokyo-japan.jpg?s=612x612&amp;w=0&amp;k=20&amp;c=mIlda86ptulybv1R3Dw8OUcShy0FDqqEQTRXAPM79Qc=" TargetMode="External"/><Relationship Id="rId878" Type="http://schemas.openxmlformats.org/officeDocument/2006/relationships/hyperlink" Target="https://st3.depositphotos.com/1000471/15143/i/450/depositphotos_151433476-stock-photo-car-traffic-on-a-highway.jpg" TargetMode="External"/><Relationship Id="rId1063" Type="http://schemas.openxmlformats.org/officeDocument/2006/relationships/hyperlink" Target="https://media.istockphoto.com/id/178737837/photo/closeup-of-the-landslide-of-a-blocked-road.jpg?s=612x612&amp;w=0&amp;k=20&amp;c=-M46JyWIGWdZ0g-VdzVFO6gw0Dgw-03NW1oShtVvENE=" TargetMode="External"/><Relationship Id="rId1270" Type="http://schemas.openxmlformats.org/officeDocument/2006/relationships/hyperlink" Target="https://st2.depositphotos.com/3711911/12284/i/380/depositphotos_122844796-stock-photo-broken-traffic-light.jpg" TargetMode="External"/><Relationship Id="rId2114" Type="http://schemas.openxmlformats.org/officeDocument/2006/relationships/hyperlink" Target="https://st5.depositphotos.com/31126772/74815/i/450/depositphotos_748153816-stock-photo-thule-wingbar-evo-roof-bike.jpg" TargetMode="External"/><Relationship Id="rId640" Type="http://schemas.openxmlformats.org/officeDocument/2006/relationships/hyperlink" Target="https://toolkit.irap.org/wp-content/uploads/2022/02/Pedestrians-cross-a-busy-multilane-road-underneath-a-pedestrian-bridge-in-China.-Credit-iRAP-2-scaled.jpg" TargetMode="External"/><Relationship Id="rId738" Type="http://schemas.openxmlformats.org/officeDocument/2006/relationships/hyperlink" Target="https://st3.depositphotos.com/16748900/32882/i/380/depositphotos_328820768-stock-photo-two-pedestrians-cross-road-jaywalk.jpg" TargetMode="External"/><Relationship Id="rId945" Type="http://schemas.openxmlformats.org/officeDocument/2006/relationships/hyperlink" Target="https://media.istockphoto.com/id/943054428/photo/coastline-road.jpg?s=612x612&amp;w=0&amp;k=20&amp;c=8ogyDtbyKdnHjV9u5bG4v5sedxFl1Rq3PrhtCTX6eMw=" TargetMode="External"/><Relationship Id="rId1368" Type="http://schemas.openxmlformats.org/officeDocument/2006/relationships/hyperlink" Target="https://media.istockphoto.com/id/173606170/photo/cars-and-winter.jpg?s=612x612&amp;w=0&amp;k=20&amp;c=Kx1FFqI9phN87xW6hcSX0WLeZyTqn3bCQdr-Jccyec8=" TargetMode="External"/><Relationship Id="rId1575" Type="http://schemas.openxmlformats.org/officeDocument/2006/relationships/hyperlink" Target="https://media.istockphoto.com/id/866354212/photo/city-life.jpg?s=612x612&amp;w=0&amp;k=20&amp;c=-re3IHeoAuoojvLuvDkCYQTZoK_Nr3NjcY0eCt3Dy5Q=" TargetMode="External"/><Relationship Id="rId1782" Type="http://schemas.openxmlformats.org/officeDocument/2006/relationships/hyperlink" Target="https://encrypted-tbn0.gstatic.com/images?q=tbn:ANd9GcQblo3PT9wfa9c0pHNglOvp5CZ0-D-xq98YJWlhJ1XPebZgIv9KnT0rNQ2GoJTI6LUc16w&amp;usqp=CAU" TargetMode="External"/><Relationship Id="rId2321" Type="http://schemas.openxmlformats.org/officeDocument/2006/relationships/hyperlink" Target="https://media.istockphoto.com/id/817784056/photo/tractor-full-with-hay-on-the-road.jpg?s=612x612&amp;w=0&amp;k=20&amp;c=zffcNmDCbx1tah_M6_DLjHkpbayGe5FEuOdfRa_7Y5w=" TargetMode="External"/><Relationship Id="rId74" Type="http://schemas.openxmlformats.org/officeDocument/2006/relationships/hyperlink" Target="https://cdn.hswstatic.com/gif/driving-dogs-lap.jpg" TargetMode="External"/><Relationship Id="rId500" Type="http://schemas.openxmlformats.org/officeDocument/2006/relationships/hyperlink" Target="https://media.istockphoto.com/id/1272681505/photo/school-girl-crossing-the-street.jpg?s=612x612&amp;w=0&amp;k=20&amp;c=McPuVPjcC45e80P0VISfcCwUqmDSkhUAsv-21YOQiP0=" TargetMode="External"/><Relationship Id="rId805" Type="http://schemas.openxmlformats.org/officeDocument/2006/relationships/hyperlink" Target="https://encrypted-tbn0.gstatic.com/images?q=tbn:ANd9GcQX-8X2GiyFIH3ouayGKWcUncDZogBtCN9sEpj3gjRsfCnwHMNeGNqJT5uLMAQM1uv53MQ&amp;usqp=CAU" TargetMode="External"/><Relationship Id="rId1130" Type="http://schemas.openxmlformats.org/officeDocument/2006/relationships/hyperlink" Target="https://townsquare.media/site/677/files/2022/01/attachment-RS34883_GettyImages-498050908-scr.jpg?w=1200&amp;h=0&amp;zc=1&amp;s=0&amp;a=t&amp;q=89&amp;format=natural" TargetMode="External"/><Relationship Id="rId1228" Type="http://schemas.openxmlformats.org/officeDocument/2006/relationships/hyperlink" Target="https://media.istockphoto.com/id/1404731007/photo/one-pit-pothole-with-dirty-water-on-the-gray-asphalt-road.jpg?s=612x612&amp;w=0&amp;k=20&amp;c=IyhzvmwROve_EjVYwqQtNFUrGeM-PDZsvCPXl6HL5M4=" TargetMode="External"/><Relationship Id="rId1435" Type="http://schemas.openxmlformats.org/officeDocument/2006/relationships/hyperlink" Target="https://live.staticflickr.com/65535/50195648326_7c5cf49544.jpg" TargetMode="External"/><Relationship Id="rId1642" Type="http://schemas.openxmlformats.org/officeDocument/2006/relationships/hyperlink" Target="https://learndrivesurvive.com.au/wp-content/uploads/2017/09/hazards-perception-skills.jpg" TargetMode="External"/><Relationship Id="rId1947" Type="http://schemas.openxmlformats.org/officeDocument/2006/relationships/hyperlink" Target="https://media.istockphoto.com/id/2007939149/photo/small-work-van.jpg?s=612x612&amp;w=0&amp;k=20&amp;c=MeyzTHYOa4puQ2X3RbvQz-6XX8ATsMGAtlgOROLn-Lo=" TargetMode="External"/><Relationship Id="rId1502" Type="http://schemas.openxmlformats.org/officeDocument/2006/relationships/hyperlink" Target="https://images.unsplash.com/photo-1573584681653-f78b856e9521?w=500&amp;auto=format&amp;fit=crop&amp;q=60&amp;ixlib=rb-4.1.0&amp;ixid=M3wxMjA3fDB8MHxwaG90by1yZWxhdGVkfDEzfHx8ZW58MHx8fHx8" TargetMode="External"/><Relationship Id="rId1807" Type="http://schemas.openxmlformats.org/officeDocument/2006/relationships/hyperlink" Target="https://bicyclensw.org.au/wp-content/uploads/2020/01/Door-Zone_600x400.png" TargetMode="External"/><Relationship Id="rId290" Type="http://schemas.openxmlformats.org/officeDocument/2006/relationships/hyperlink" Target="https://media.istockphoto.com/id/877029722/photo/mom-texts-while-driving-with-child-in-the-backseat.jpg?s=612x612&amp;w=0&amp;k=20&amp;c=3ox2pF4drxmlDYNl1DhA-6Znk_Srj10trA3xMhtkI50=" TargetMode="External"/><Relationship Id="rId388" Type="http://schemas.openxmlformats.org/officeDocument/2006/relationships/hyperlink" Target="https://media.istockphoto.com/id/1132356459/photo/senior-woman-crossing.jpg?s=612x612&amp;w=0&amp;k=20&amp;c=lI2anvVJtubV2aB0bzk9HeZSPpC_4G4iQNbY5L7RknM=" TargetMode="External"/><Relationship Id="rId2069" Type="http://schemas.openxmlformats.org/officeDocument/2006/relationships/hyperlink" Target="https://media.istockphoto.com/id/869278240/photo/truck-carrying-hay-in-his-body-making-hay-for-the-winter.jpg?s=612x612&amp;w=0&amp;k=20&amp;c=ia_AYinfTWXpvRHb6wht7Ozj5N69MZEWHqTVVShVbno=" TargetMode="External"/><Relationship Id="rId150" Type="http://schemas.openxmlformats.org/officeDocument/2006/relationships/hyperlink" Target="https://images.pexels.com/photos/10466263/pexels-photo-10466263.jpeg" TargetMode="External"/><Relationship Id="rId595" Type="http://schemas.openxmlformats.org/officeDocument/2006/relationships/hyperlink" Target="https://media.istockphoto.com/id/539243306/photo/cheerful-young-woman-standing-on-street-and-talking-at-phone.jpg?s=612x612&amp;w=0&amp;k=20&amp;c=lXkF2SFIouc_-uimeMmBvjsIR7_MFCHAveAaGZDutmQ=" TargetMode="External"/><Relationship Id="rId2276" Type="http://schemas.openxmlformats.org/officeDocument/2006/relationships/hyperlink" Target="https://media.istockphoto.com/id/1131258299/photo/car-image.jpg?s=612x612&amp;w=0&amp;k=20&amp;c=v49ErTNHKHQELS236B2Gw62-IYopts45atCjtp4Yo04=" TargetMode="External"/><Relationship Id="rId248" Type="http://schemas.openxmlformats.org/officeDocument/2006/relationships/hyperlink" Target="https://st.depositphotos.com/1000647/4674/i/380/depositphotos_46742309-stock-photo-driving-a-car.jpg" TargetMode="External"/><Relationship Id="rId455" Type="http://schemas.openxmlformats.org/officeDocument/2006/relationships/hyperlink" Target="https://images.unsplash.com/photo-1644534226441-9078b613c3ec?w=500&amp;auto=format&amp;fit=crop&amp;q=60&amp;ixlib=rb-4.1.0&amp;ixid=M3wxMjA3fDB8MHxzZWFyY2h8MTl8fHBlZGVzdHJpYW4lMjB3YWxraW5nJTIwc2FmZXxlbnwwfHwwfHx8MA%3D%3D" TargetMode="External"/><Relationship Id="rId662" Type="http://schemas.openxmlformats.org/officeDocument/2006/relationships/hyperlink" Target="https://media.istockphoto.com/id/1368287848/photo/young-woman-walking-in-the-middle-of-crowded-street-and-looking-time-at-hand-watches-big-city.jpg?s=612x612&amp;w=0&amp;k=20&amp;c=7jve-VOvQHu8R0pWtBUuB3Q4UTvfw3-JMP8EXXX8YO4=" TargetMode="External"/><Relationship Id="rId1085" Type="http://schemas.openxmlformats.org/officeDocument/2006/relationships/hyperlink" Target="https://static3.depositphotos.com/1004489/180/i/380/depositphotos_1803795-stock-photo-car-accident-on-a-highway.jpg" TargetMode="External"/><Relationship Id="rId1292" Type="http://schemas.openxmlformats.org/officeDocument/2006/relationships/hyperlink" Target="https://st.depositphotos.com/1730665/1247/i/380/depositphotos_12478046-stock-photo-australia-victoria-great-ocean-road.jpg" TargetMode="External"/><Relationship Id="rId2136" Type="http://schemas.openxmlformats.org/officeDocument/2006/relationships/hyperlink" Target="https://media.istockphoto.com/id/817784056/photo/tractor-full-with-hay-on-the-road.jpg?s=612x612&amp;w=0&amp;k=20&amp;c=zffcNmDCbx1tah_M6_DLjHkpbayGe5FEuOdfRa_7Y5w=" TargetMode="External"/><Relationship Id="rId2343" Type="http://schemas.openxmlformats.org/officeDocument/2006/relationships/hyperlink" Target="https://worksafetci.com/wp-content/uploads/shutterstock_2177448265.jpg" TargetMode="External"/><Relationship Id="rId108" Type="http://schemas.openxmlformats.org/officeDocument/2006/relationships/hyperlink" Target="https://www.johnsongarcialaw.com/wp-content/uploads/2020/12/Johnson-Garcia-blog-post-image_Common-signs-of-distracted-driving-scaled-1.jpg.webp" TargetMode="External"/><Relationship Id="rId315" Type="http://schemas.openxmlformats.org/officeDocument/2006/relationships/hyperlink" Target="https://st2.depositphotos.com/1609055/7563/i/380/depositphotos_75638913-stock-photo-woman-crossing-street-at-pedestrian.jpg" TargetMode="External"/><Relationship Id="rId522" Type="http://schemas.openxmlformats.org/officeDocument/2006/relationships/hyperlink" Target="https://media.istockphoto.com/id/1265455009/photo/woman-man-and-child-cross-road-at-crosswalk.jpg?s=612x612&amp;w=0&amp;k=20&amp;c=TxCT_JD_IUu1JPsFpEH1pe23mxwJLPwF7OQZLQm_WNs=" TargetMode="External"/><Relationship Id="rId967" Type="http://schemas.openxmlformats.org/officeDocument/2006/relationships/hyperlink" Target="https://st.depositphotos.com/6570854/53660/i/450/depositphotos_536607132-stock-photo-roads-australia-victoria-suburb-melbourne.jpg" TargetMode="External"/><Relationship Id="rId1152" Type="http://schemas.openxmlformats.org/officeDocument/2006/relationships/hyperlink" Target="https://media.istockphoto.com/id/929942316/photo/old-highway-with-holes-and-snow-landscape-road-potholes-in-cloudy-winter-weather-concept.jpg?s=612x612&amp;w=0&amp;k=20&amp;c=ZtK8wJgXLQYEWGMJVGeyZBqVPKsdHMQlml1Vx8i17aw=" TargetMode="External"/><Relationship Id="rId1597" Type="http://schemas.openxmlformats.org/officeDocument/2006/relationships/hyperlink" Target="https://media.istockphoto.com/id/453376679/photo/dangerous-city-traffic-situation.jpg?s=1024x1024&amp;w=is&amp;k=20&amp;c=3R57_ecaTQXDXoUO0q432OxZHaHmde8j4ld1rsLzGzc=" TargetMode="External"/><Relationship Id="rId2203" Type="http://schemas.openxmlformats.org/officeDocument/2006/relationships/hyperlink" Target="https://st.depositphotos.com/1035123/3056/i/450/depositphotos_30568385-stock-photo-truck-overloaded-with-rice-sacks.jpg" TargetMode="External"/><Relationship Id="rId96" Type="http://schemas.openxmlformats.org/officeDocument/2006/relationships/hyperlink" Target="https://lh5.googleusercontent.com/y9o_BIcSyYxMONRHr8zx58hUr4Hjlj3in_9pHGaKDTSERFpVk-Y61wpqsD6O5KSdK_Xix4aQ076yOvTpnRtjyDAnXdrJ--QNzoVS21A_nBDXOggRcJkoIC0OQpbdgdewbg" TargetMode="External"/><Relationship Id="rId827" Type="http://schemas.openxmlformats.org/officeDocument/2006/relationships/hyperlink" Target="https://media.istockphoto.com/id/537615269/photo/double-yellow-lines-on-asphalt-road.jpg?s=612x612&amp;w=0&amp;k=20&amp;c=wsLidRjQilmn_QV-VwrJHGXAKqf1K0MdYTdE3dxxr74=" TargetMode="External"/><Relationship Id="rId1012" Type="http://schemas.openxmlformats.org/officeDocument/2006/relationships/hyperlink" Target="https://static8.depositphotos.com/1421348/902/i/450/depositphotos_9023272-stock-photo-road-in-the-city.jpg" TargetMode="External"/><Relationship Id="rId1457" Type="http://schemas.openxmlformats.org/officeDocument/2006/relationships/hyperlink" Target="https://media.istockphoto.com/id/513106144/photo/traffic-on-highway-with-cars.jpg?s=612x612&amp;w=0&amp;k=20&amp;c=dXm6BH6TnIHFu202PlQJNdM12lZQBt11Tkbqx85rHdQ=" TargetMode="External"/><Relationship Id="rId1664" Type="http://schemas.openxmlformats.org/officeDocument/2006/relationships/hyperlink" Target="https://media.istockphoto.com/id/453376679/photo/dangerous-city-traffic-situation.jpg?s=1024x1024&amp;w=is&amp;k=20&amp;c=3R57_ecaTQXDXoUO0q432OxZHaHmde8j4ld1rsLzGzc=" TargetMode="External"/><Relationship Id="rId1871" Type="http://schemas.openxmlformats.org/officeDocument/2006/relationships/hyperlink" Target="https://images.unsplash.com/photo-1618582948377-cd7eb0e8cb14?w=400&amp;auto=format&amp;fit=crop&amp;q=60&amp;ixlib=rb-4.1.0&amp;ixid=M3wxMjA3fDB8MHxzZWFyY2h8MjR8fHRydWNrfGVufDB8fDB8fHww" TargetMode="External"/><Relationship Id="rId1317" Type="http://schemas.openxmlformats.org/officeDocument/2006/relationships/hyperlink" Target="https://media.istockphoto.com/id/1148691627/photo/macropus-giganteus-eastern-grey-kangaroo-in-tasmania-in-australia-maria-island-tasmania.jpg?s=612x612&amp;w=0&amp;k=20&amp;c=qIgIqpr4ULtE1ByOI9UWNW3AbLJKuA21fmOwXQCwHeM=" TargetMode="External"/><Relationship Id="rId1524" Type="http://schemas.openxmlformats.org/officeDocument/2006/relationships/hyperlink" Target="https://www.smartdrivetest.com/wp-content/uploads/2016/10/left_turning.png" TargetMode="External"/><Relationship Id="rId1731" Type="http://schemas.openxmlformats.org/officeDocument/2006/relationships/hyperlink" Target="https://www.austockphoto.com.au/imgcache/uploads/photos/compressed/cars-driving-through-traffic-lights-on-busy-urban-street-in-daytime-austockphoto-000044098.jpg" TargetMode="External"/><Relationship Id="rId1969" Type="http://schemas.openxmlformats.org/officeDocument/2006/relationships/hyperlink" Target="https://media.istockphoto.com/id/1157121188/photo/white-repair-and-service-van-with-ladder-and-orange-light-bar-on-roof-at-city-street.jpg?s=612x612&amp;w=0&amp;k=20&amp;c=9tUocpHtWJSZ1OFpF_yrh1oVkhHqh_U93M1pzLPF_pI=" TargetMode="External"/><Relationship Id="rId23" Type="http://schemas.openxmlformats.org/officeDocument/2006/relationships/hyperlink" Target="https://images.pexels.com/photos/10466263/pexels-photo-10466263.jpeg" TargetMode="External"/><Relationship Id="rId1829" Type="http://schemas.openxmlformats.org/officeDocument/2006/relationships/hyperlink" Target="https://encrypted-tbn0.gstatic.com/images?q=tbn:ANd9GcSR6-m078yd3P3x3WhP8eer3jUXlhmtIStk4nxEwy7omlXGF89KiST04t3GdgmvnxV6iUE&amp;usqp=CAU" TargetMode="External"/><Relationship Id="rId2298" Type="http://schemas.openxmlformats.org/officeDocument/2006/relationships/hyperlink" Target="https://images.unsplash.com/photo-1559724777-252ff7ea187f?w=400&amp;auto=format&amp;fit=crop&amp;q=60&amp;ixlib=rb-4.1.0&amp;ixid=M3wxMjA3fDB8MHxwaG90by1yZWxhdGVkfDJ8fHxlbnwwfHx8fHw%3D" TargetMode="External"/><Relationship Id="rId172" Type="http://schemas.openxmlformats.org/officeDocument/2006/relationships/hyperlink" Target="https://st2.depositphotos.com/1236925/8010/i/380/depositphotos_80101804-stock-photo-young-man-driving-his-car.jpg" TargetMode="External"/><Relationship Id="rId477" Type="http://schemas.openxmlformats.org/officeDocument/2006/relationships/hyperlink" Target="https://images.unsplash.com/photo-1642071241624-4886abb7a3e1?w=500&amp;auto=format&amp;fit=crop&amp;q=60&amp;ixlib=rb-4.1.0&amp;ixid=M3wxMjA3fDB8MHxzZWFyY2h8MTA4fHxwZWRlc3RyaWFuJTIwd2Fsa2luZyUyMGdyZWVuJTIwbGlnaHR8ZW58MHx8MHx8fDA%3D" TargetMode="External"/><Relationship Id="rId684" Type="http://schemas.openxmlformats.org/officeDocument/2006/relationships/hyperlink" Target="https://media.istockphoto.com/id/1212510558/photo/woman-in-green-dress-crossing-street-using-mobile-phone.jpg?s=612x612&amp;w=0&amp;k=20&amp;c=OgaBpsU17t0JuXeFfjJxlF7fEDOQz470_-HKro8siZc=" TargetMode="External"/><Relationship Id="rId2060" Type="http://schemas.openxmlformats.org/officeDocument/2006/relationships/hyperlink" Target="https://cdn.pixabay.com/photo/2017/09/17/14/17/truck-2758534_640.jpg" TargetMode="External"/><Relationship Id="rId2158" Type="http://schemas.openxmlformats.org/officeDocument/2006/relationships/hyperlink" Target="https://www.shutterstock.com/image-photo/plasencia-spain-may-01-2022-260nw-2244693823.jpg" TargetMode="External"/><Relationship Id="rId337" Type="http://schemas.openxmlformats.org/officeDocument/2006/relationships/hyperlink" Target="https://media.istockphoto.com/id/1553389979/photo/young-women-cross-the-road-at-pedestrian-crossing-in-modern-european-city.jpg?s=612x612&amp;w=0&amp;k=20&amp;c=ibdkOIekYFW-bB1abkTC6x1jUuK-TnPeQboi5-D5o9w=" TargetMode="External"/><Relationship Id="rId891" Type="http://schemas.openxmlformats.org/officeDocument/2006/relationships/hyperlink" Target="https://st4.depositphotos.com/28951978/31584/i/450/depositphotos_315843620-stock-photo-road-highway-signs.jpg" TargetMode="External"/><Relationship Id="rId989" Type="http://schemas.openxmlformats.org/officeDocument/2006/relationships/hyperlink" Target="https://st.depositphotos.com/1066342/2004/i/450/depositphotos_20048743-stock-photo-melbourne-by-the-fast-track.jpg" TargetMode="External"/><Relationship Id="rId2018" Type="http://schemas.openxmlformats.org/officeDocument/2006/relationships/hyperlink" Target="https://plus.unsplash.com/premium_photo-1661964199430-3e49c575b0b0?w=400&amp;auto=format&amp;fit=crop&amp;q=60&amp;ixlib=rb-4.1.0&amp;ixid=M3wxMjA3fDB8MHxwaG90by1yZWxhdGVkfDQ0fHx8ZW58MHx8fHx8" TargetMode="External"/><Relationship Id="rId544" Type="http://schemas.openxmlformats.org/officeDocument/2006/relationships/hyperlink" Target="https://images.unsplash.com/photo-1530261316168-757e4c267137?w=500&amp;auto=format&amp;fit=crop&amp;q=60&amp;ixlib=rb-4.1.0&amp;ixid=M3wxMjA3fDB8MHxwaG90by1yZWxhdGVkfDE1fHx8ZW58MHx8fHx8" TargetMode="External"/><Relationship Id="rId751" Type="http://schemas.openxmlformats.org/officeDocument/2006/relationships/hyperlink" Target="https://encrypted-tbn0.gstatic.com/images?q=tbn:ANd9GcSvCQ2QfrPj0e0zIxf9oEcu_GXz_JtmnWdcZr95X7Rv4hr5ELi3JOYrZBkFmW76gPRyZdw&amp;usqp=CAU" TargetMode="External"/><Relationship Id="rId849" Type="http://schemas.openxmlformats.org/officeDocument/2006/relationships/hyperlink" Target="https://static8.depositphotos.com/1421348/902/i/450/depositphotos_9023272-stock-photo-road-in-the-city.jpg" TargetMode="External"/><Relationship Id="rId1174" Type="http://schemas.openxmlformats.org/officeDocument/2006/relationships/hyperlink" Target="https://media.istockphoto.com/id/182678225/photo/tree-fallen-from-wind-storm.jpg?s=612x612&amp;w=0&amp;k=20&amp;c=u7DGkbKVue0MnMqNrJM47OQeHmicXM7T_sf1PXNb0gE=" TargetMode="External"/><Relationship Id="rId1381" Type="http://schemas.openxmlformats.org/officeDocument/2006/relationships/hyperlink" Target="https://media.istockphoto.com/id/483375405/photo/car-at-red-light.jpg?s=612x612&amp;w=0&amp;k=20&amp;c=I2exUhQ61vG1-UEzPNxwxF3kimkRrM2phiy2DBUEUqs=" TargetMode="External"/><Relationship Id="rId1479" Type="http://schemas.openxmlformats.org/officeDocument/2006/relationships/hyperlink" Target="https://images.unsplash.com/photo-1689049844247-667754e34cda?w=500&amp;auto=format&amp;fit=crop&amp;q=60&amp;ixlib=rb-4.1.0&amp;ixid=M3wxMjA3fDB8MHxzZWFyY2h8MTV8fGNhciUyMGF0JTIwcmVkJTIwbGlnaHR8ZW58MHx8MHx8fDA%3D" TargetMode="External"/><Relationship Id="rId1686" Type="http://schemas.openxmlformats.org/officeDocument/2006/relationships/hyperlink" Target="https://media.istockphoto.com/id/115918871/photo/traffic-on-the-highway.jpg?s=612x612&amp;w=0&amp;k=20&amp;c=ukygLoucRNtLLEay-YuDa6hJIoFh0xGyzo8dI-VeTO8=" TargetMode="External"/><Relationship Id="rId2225" Type="http://schemas.openxmlformats.org/officeDocument/2006/relationships/hyperlink" Target="https://st4.depositphotos.com/7149852/31014/i/450/depositphotos_310146914-stock-photo-modern-car-with-luggage-box.jpg" TargetMode="External"/><Relationship Id="rId404" Type="http://schemas.openxmlformats.org/officeDocument/2006/relationships/hyperlink" Target="https://media.istockphoto.com/id/1143981682/photo/children-next-to-a-car-walking-through-pedestrian-crossing-to-the-school.jpg?s=612x612&amp;w=0&amp;k=20&amp;c=lDXFrGAhXDy_WJPOa4sQXcGm8snIOxSGvbnXM2NCEl8=" TargetMode="External"/><Relationship Id="rId611" Type="http://schemas.openxmlformats.org/officeDocument/2006/relationships/hyperlink" Target="https://www.delawareonline.com/gcdn/-mm-/85a62fc3530cf4ccf908caee8230a64765dd017b/c=879-723-3655-2292/local/-/media/2015/10/06/Wilmington/Wilmington/635797433497029497-100615-Pedestrians-SP102.JPG" TargetMode="External"/><Relationship Id="rId1034" Type="http://schemas.openxmlformats.org/officeDocument/2006/relationships/hyperlink" Target="https://media.istockphoto.com/id/1147785858/photo/road.jpg?s=612x612&amp;w=0&amp;k=20&amp;c=gFx0MjOKF5vTbIO43QnfcjrSH5rkl9ZUpk8nvjRPGFk=" TargetMode="External"/><Relationship Id="rId1241" Type="http://schemas.openxmlformats.org/officeDocument/2006/relationships/hyperlink" Target="https://st4.depositphotos.com/2267983/31334/i/380/depositphotos_313344178-stock-photo-damaged-cars-on-the-road.jpg" TargetMode="External"/><Relationship Id="rId1339" Type="http://schemas.openxmlformats.org/officeDocument/2006/relationships/hyperlink" Target="https://media.istockphoto.com/id/157646190/photo/flooded-road-hail-storm.jpg?s=612x612&amp;w=0&amp;k=20&amp;c=ZVH6F-pmSIOu_3kKegdfURPYO_5j_j0-c5hydn68tDI=" TargetMode="External"/><Relationship Id="rId1893" Type="http://schemas.openxmlformats.org/officeDocument/2006/relationships/hyperlink" Target="https://streetsmarts.initiatives.qld.gov.au/wp-content/uploads/2022/03/tmr_2019_TMR_Library_415.jpg" TargetMode="External"/><Relationship Id="rId709" Type="http://schemas.openxmlformats.org/officeDocument/2006/relationships/hyperlink" Target="https://media.istockphoto.com/id/1181901428/photo/motivated-for-fitness.webp?b=1&amp;s=612x612&amp;w=0&amp;k=20&amp;c=QMrEKAdmVOs3ncJIkRnqQrg92br3Xq2uFutgToGkR80=" TargetMode="External"/><Relationship Id="rId916" Type="http://schemas.openxmlformats.org/officeDocument/2006/relationships/hyperlink" Target="https://media.istockphoto.com/id/905823954/photo/australian-road-trip-motion-blur-highway-landscape-at-dusk-with-mountain-ararat.jpg?s=612x612&amp;w=0&amp;k=20&amp;c=tnGB24J1Z6xeBitRwEJZezlQYUzSTPfAc7nWixKKAjQ=" TargetMode="External"/><Relationship Id="rId1101" Type="http://schemas.openxmlformats.org/officeDocument/2006/relationships/hyperlink" Target="https://st4.depositphotos.com/2247853/41569/i/380/depositphotos_415691830-stock-photo-cape-barren-goose-road-phillip.jpg" TargetMode="External"/><Relationship Id="rId1546" Type="http://schemas.openxmlformats.org/officeDocument/2006/relationships/hyperlink" Target="https://encrypted-tbn0.gstatic.com/images?q=tbn:ANd9GcT4WDq9AMHTE1Kgr6Gaih23w82YNwAomnxQKf7G9IadO_yhCKBpgChlsGcOaio6USeGX-k&amp;usqp=CAU" TargetMode="External"/><Relationship Id="rId1753" Type="http://schemas.openxmlformats.org/officeDocument/2006/relationships/hyperlink" Target="https://encrypted-tbn0.gstatic.com/images?q=tbn:ANd9GcTjQPsH0MV0sjDARVsVSyZY9neors9H7iCfU6Cp3KfSPdIbvCaYcSY6nenIYNJPAyHlCUU&amp;usqp=CAU" TargetMode="External"/><Relationship Id="rId1960" Type="http://schemas.openxmlformats.org/officeDocument/2006/relationships/hyperlink" Target="https://media.istockphoto.com/id/1314167846/photo/rv-caravan-camping-at-the-caravan-park-camping-vacation-travel-concept.jpg?s=612x612&amp;w=0&amp;k=20&amp;c=W1nPWWFlcZXe9a4Q8gmOuwHokfudxJol7OkQQFOQYfs=" TargetMode="External"/><Relationship Id="rId45" Type="http://schemas.openxmlformats.org/officeDocument/2006/relationships/hyperlink" Target="https://st5.depositphotos.com/9045224/75564/i/380/depositphotos_755649942-stock-photo-woman-applying-lipstick-while-seated.jpg" TargetMode="External"/><Relationship Id="rId1406" Type="http://schemas.openxmlformats.org/officeDocument/2006/relationships/hyperlink" Target="https://c8.alamy.com/comp/W7P782/file-car-drivers-wait-to-give-way-to-pedestrians-on-a-crosswalk-in-beijing-china-9-july-2013-beijing-traffic-police-thursday-15-june-2017-be-W7P782.jpg" TargetMode="External"/><Relationship Id="rId1613" Type="http://schemas.openxmlformats.org/officeDocument/2006/relationships/hyperlink" Target="https://blogger.googleusercontent.com/img/b/R29vZ2xl/AVvXsEh9_XXl81YI8WIS6t-ThmVJ6fvM3tS9eEWg13fcQirGBThD15ffn9dZrxhD2LGEfjethGqcOJ3XEFptPRBdJ0iFa7Bz0b_HFSzEeUvJ8CFdGOnLHkswhvoCuUOxaYSbBuXALnmNeA/s1600/reddit+-+red+light+fine.png" TargetMode="External"/><Relationship Id="rId1820" Type="http://schemas.openxmlformats.org/officeDocument/2006/relationships/hyperlink" Target="https://encrypted-tbn0.gstatic.com/images?q=tbn:ANd9GcS4VsR1-3hpcGO1v0omxVPJHogZBwC1O-UQIHMf_sSzztlSxwWsCXHrz6v31W4NLahPCTY&amp;usqp=CAU" TargetMode="External"/><Relationship Id="rId194" Type="http://schemas.openxmlformats.org/officeDocument/2006/relationships/hyperlink" Target="https://st2.depositphotos.com/1010613/7611/i/380/depositphotos_76114713-stock-photo-businessman-eating-snack.jpg" TargetMode="External"/><Relationship Id="rId1918" Type="http://schemas.openxmlformats.org/officeDocument/2006/relationships/hyperlink" Target="https://live.staticflickr.com/65535/50328552863_082a2f95a2_z.jpg" TargetMode="External"/><Relationship Id="rId2082" Type="http://schemas.openxmlformats.org/officeDocument/2006/relationships/hyperlink" Target="https://media.istockphoto.com/id/1087268414/photo/bale-truck-carrying-straw.jpg?s=612x612&amp;w=0&amp;k=20&amp;c=C-bcXCZeEJiCG5DeTMAAwu8H1GjD--FUnxwpKOSPxvg=" TargetMode="External"/><Relationship Id="rId261" Type="http://schemas.openxmlformats.org/officeDocument/2006/relationships/hyperlink" Target="https://st5.depositphotos.com/36525122/71224/i/380/depositphotos_712248936-stock-photo-woman-driving-sending-voice-message.jpg" TargetMode="External"/><Relationship Id="rId499" Type="http://schemas.openxmlformats.org/officeDocument/2006/relationships/hyperlink" Target="https://media.istockphoto.com/id/1272681505/photo/school-girl-crossing-the-street.jpg?s=612x612&amp;w=0&amp;k=20&amp;c=McPuVPjcC45e80P0VISfcCwUqmDSkhUAsv-21YOQiP0=" TargetMode="External"/><Relationship Id="rId359" Type="http://schemas.openxmlformats.org/officeDocument/2006/relationships/hyperlink" Target="https://c8.alamy.com/comp/HNYN5C/frankfurt-germany-march-20-2009-children-crossing-street-with-guiding-HNYN5C.jpg" TargetMode="External"/><Relationship Id="rId566" Type="http://schemas.openxmlformats.org/officeDocument/2006/relationships/hyperlink" Target="https://images.unsplash.com/photo-1642761503017-c1744e5da6ac?w=500&amp;auto=format&amp;fit=crop&amp;q=60&amp;ixlib=rb-4.1.0&amp;ixid=M3wxMjA3fDB8MHxzZWFyY2h8ODd8fHBlZGVzdHJpYW4lMjB3YWxraW5nJTIwZ3JlZW4lMjBsaWdodHxlbnwwfHwwfHx8MA%3D%3D" TargetMode="External"/><Relationship Id="rId773" Type="http://schemas.openxmlformats.org/officeDocument/2006/relationships/hyperlink" Target="https://encrypted-tbn0.gstatic.com/images?q=tbn:ANd9GcQYHOAtC8Mr4h7s_hlM4iFKmcTHq1ui6W9woj2wgWWKzPWqiX_PKVMfHYmVT2I8fr2wE8s&amp;usqp=CAU" TargetMode="External"/><Relationship Id="rId1196" Type="http://schemas.openxmlformats.org/officeDocument/2006/relationships/hyperlink" Target="https://media.istockphoto.com/id/934265026/photo/road-is-paved-with-cracks-in-pits-and-puddles-from-snow-landscape-of-winter-road-in-cloudy.jpg?s=612x612&amp;w=0&amp;k=20&amp;c=QPu9-Q9e4lHW3BXYkONZ_lsT2oa-V1ALxlwJSn877Zg=" TargetMode="External"/><Relationship Id="rId2247" Type="http://schemas.openxmlformats.org/officeDocument/2006/relationships/hyperlink" Target="https://st.depositphotos.com/8272416/59368/i/450/depositphotos_593680588-stock-photo-accra-ghana-april-2022-crowded.jpg" TargetMode="External"/><Relationship Id="rId121" Type="http://schemas.openxmlformats.org/officeDocument/2006/relationships/hyperlink" Target="https://encrypted-tbn0.gstatic.com/images?q=tbn:ANd9GcSBBAqHIsPq0uGWEjuW0SgHflSVqP24-lk3UY9ySmpTT-cfcHxt75kG_Ez7HYqzDMLv-1o&amp;usqp=CAU" TargetMode="External"/><Relationship Id="rId219" Type="http://schemas.openxmlformats.org/officeDocument/2006/relationships/hyperlink" Target="https://st3.depositphotos.com/1003697/12762/i/380/depositphotos_127620912-stock-photo-woman-making-makeup-while-driving.jpg" TargetMode="External"/><Relationship Id="rId426" Type="http://schemas.openxmlformats.org/officeDocument/2006/relationships/hyperlink" Target="https://media.istockphoto.com/id/1373732934/photo/hipster-teenage-urban-lifestyle-music-students-go-to-class-or-to-a-concert-concept-of.jpg?s=612x612&amp;w=0&amp;k=20&amp;c=nDZVdpbMObNQZLXfZ3D61DYaRgnqmlYKjDeei9B_iHI=" TargetMode="External"/><Relationship Id="rId633" Type="http://schemas.openxmlformats.org/officeDocument/2006/relationships/hyperlink" Target="https://h7.alamy.com/comp/R7AAEA/jerusalem-israel-18052018-a-religious-jew-crosses-the-road-on-a-tramway-track-violation-of-traffic-rules-accident-R7AAEA.jpg" TargetMode="External"/><Relationship Id="rId980" Type="http://schemas.openxmlformats.org/officeDocument/2006/relationships/hyperlink" Target="https://st3.depositphotos.com/30030580/34805/i/450/depositphotos_348056820-stock-photo-the-m1-motorway-is-at.jpg" TargetMode="External"/><Relationship Id="rId1056" Type="http://schemas.openxmlformats.org/officeDocument/2006/relationships/hyperlink" Target="https://content.api.news/v3/images/bin/3b54220bb188309e82871d0c9311c2de" TargetMode="External"/><Relationship Id="rId1263" Type="http://schemas.openxmlformats.org/officeDocument/2006/relationships/hyperlink" Target="https://media.istockphoto.com/id/1440579448/photo/car-crash.jpg?s=612x612&amp;w=0&amp;k=20&amp;c=Y7ruaQuUtTx2MZJbQSUKjY5UOY_gfTnSNDFNSMbJEqU=" TargetMode="External"/><Relationship Id="rId2107" Type="http://schemas.openxmlformats.org/officeDocument/2006/relationships/hyperlink" Target="https://st.depositphotos.com/1035123/3056/i/450/depositphotos_30568385-stock-photo-truck-overloaded-with-rice-sacks.jpg" TargetMode="External"/><Relationship Id="rId2314" Type="http://schemas.openxmlformats.org/officeDocument/2006/relationships/hyperlink" Target="https://media.istockphoto.com/id/1347294000/photo/a-truck-filled-to-the-brim-transports-round-bales-of-hay.jpg?s=612x612&amp;w=0&amp;k=20&amp;c=PWrQJRRDk1pZ4KWHPFYQt_XNBTJ13FYAy4RhWCZ7rxU=" TargetMode="External"/><Relationship Id="rId840" Type="http://schemas.openxmlformats.org/officeDocument/2006/relationships/hyperlink" Target="https://st4.depositphotos.com/1841867/28185/i/450/depositphotos_281851370-stock-photo-m1-eastern-distributor-highway-view.jpg" TargetMode="External"/><Relationship Id="rId938" Type="http://schemas.openxmlformats.org/officeDocument/2006/relationships/hyperlink" Target="https://media.istockphoto.com/id/1057809092/photo/russian-roads-in-karelia-travel-by-road-asphalt-road-smooth-road.jpg?s=612x612&amp;w=0&amp;k=20&amp;c=fBouhuAtPjuQ9Uzzr9epMXNGCgt-MsLoZGRRCMdMcCY=" TargetMode="External"/><Relationship Id="rId1470" Type="http://schemas.openxmlformats.org/officeDocument/2006/relationships/hyperlink" Target="https://images.unsplash.com/photo-1613642190115-ff38824cb2e2?w=500&amp;auto=format&amp;fit=crop&amp;q=60&amp;ixlib=rb-4.1.0&amp;ixid=M3wxMjA3fDB8MHxzZWFyY2h8Mnx8Y2FyJTIwYXQlMjByZWQlMjBsaWdodHxlbnwwfHwwfHx8MA%3D%3D" TargetMode="External"/><Relationship Id="rId1568" Type="http://schemas.openxmlformats.org/officeDocument/2006/relationships/hyperlink" Target="https://media.istockphoto.com/id/542076936/photo/sydney-road-brunswick.jpg?s=612x612&amp;w=0&amp;k=20&amp;c=mlJ7tgkOqwfE-Xp3G5nm_oBEc27HoXE_amTr8cwW690=" TargetMode="External"/><Relationship Id="rId1775" Type="http://schemas.openxmlformats.org/officeDocument/2006/relationships/hyperlink" Target="https://images.carexpert.com.au/resize/960/-/app/uploads/2023/08/blocked-intersection-3.jpg" TargetMode="External"/><Relationship Id="rId67" Type="http://schemas.openxmlformats.org/officeDocument/2006/relationships/hyperlink" Target="https://cdn.bookingtimes.com/Common/LoadImage?Id=98991&amp;v=1" TargetMode="External"/><Relationship Id="rId700" Type="http://schemas.openxmlformats.org/officeDocument/2006/relationships/hyperlink" Target="https://media.istockphoto.com/id/930104238/photo/young-woman-looks-at-her-cellphone-and-does-not-pay-attention-to-traffic.jpg?s=612x612&amp;w=0&amp;k=20&amp;c=PFeGpUcjBVvIC2Tgr8IeVDxiiwmol6Zb9F1f_yc-zuc=" TargetMode="External"/><Relationship Id="rId1123" Type="http://schemas.openxmlformats.org/officeDocument/2006/relationships/hyperlink" Target="https://c8.alamy.com/comp/ARTWA5/flooded-road-traffic-cars-in-flood-waters-driving-in-flood-conditions-ARTWA5.jpg" TargetMode="External"/><Relationship Id="rId1330" Type="http://schemas.openxmlformats.org/officeDocument/2006/relationships/hyperlink" Target="https://media.istockphoto.com/id/1369294013/photo/wild-koala-in-australia.jpg?s=612x612&amp;w=0&amp;k=20&amp;c=mjTmGwmXTjtC1CRIQX0hKfYAqkshPfLhI5wqRYuvvew=" TargetMode="External"/><Relationship Id="rId1428" Type="http://schemas.openxmlformats.org/officeDocument/2006/relationships/hyperlink" Target="https://www.travelandleisure.com/thmb/Q2RsMvQNGug4fX5IFuML-5coY5s=/1500x0/filters:no_upscale():max_bytes(150000):strip_icc()/TAL-crowds-WHENBRISBANE1124-9c0850cf61b74e0e96baf19a857524df.jpg" TargetMode="External"/><Relationship Id="rId1635" Type="http://schemas.openxmlformats.org/officeDocument/2006/relationships/hyperlink" Target="https://encrypted-tbn0.gstatic.com/images?q=tbn:ANd9GcRL3QJh2rgRppDgmT1c9Dkk96zAVDLAcyKptrKrIvsNWbwiU3oH_7zjIVv9RRgHnBTN4PQ&amp;usqp=CAU" TargetMode="External"/><Relationship Id="rId1982" Type="http://schemas.openxmlformats.org/officeDocument/2006/relationships/hyperlink" Target="https://media.istockphoto.com/id/1388560519/photo/large-roof-box.jpg?s=612x612&amp;w=0&amp;k=20&amp;c=Tr8UzIOdr0GkCemz-maS0eIlRcztTSmHXTMZyoJxAA0=" TargetMode="External"/><Relationship Id="rId1842" Type="http://schemas.openxmlformats.org/officeDocument/2006/relationships/hyperlink" Target="https://streetsmarts.initiatives.qld.gov.au/wp-content/uploads/2022/03/tmr_2019_TMR_Library_415.jpg" TargetMode="External"/><Relationship Id="rId1702" Type="http://schemas.openxmlformats.org/officeDocument/2006/relationships/hyperlink" Target="https://images.unsplash.com/photo-1663406288629-4c3a2dd0b452?q=80&amp;w=1187&amp;auto=format&amp;fit=crop&amp;ixlib=rb-4.1.0&amp;ixid=M3wxMjA3fDB8MHxwaG90by1wYWdlfHx8fGVufDB8fHx8fA%3D%3D" TargetMode="External"/><Relationship Id="rId283" Type="http://schemas.openxmlformats.org/officeDocument/2006/relationships/hyperlink" Target="https://media.istockphoto.com/id/1073413506/photo/traveling-with-my-best-friend.jpg?b=1&amp;s=612x612&amp;w=0&amp;k=20&amp;c=lvzmPaFUveIQUT6lNYrK1IIdLct2ZQZRvGrusOrcP7s=" TargetMode="External"/><Relationship Id="rId490" Type="http://schemas.openxmlformats.org/officeDocument/2006/relationships/hyperlink" Target="https://images.pexels.com/photos/8576222/pexels-photo-8576222.jpeg" TargetMode="External"/><Relationship Id="rId2171" Type="http://schemas.openxmlformats.org/officeDocument/2006/relationships/hyperlink" Target="https://media.istockphoto.com/id/177540596/photo/truck-travelling-on-roadway-heavily-overloaded-by-wood.jpg?s=612x612&amp;w=0&amp;k=20&amp;c=iy4LhQzbb7155A5Yl5ppMEFgAvj93G0ccIZqzPLAol0=" TargetMode="External"/><Relationship Id="rId143" Type="http://schemas.openxmlformats.org/officeDocument/2006/relationships/hyperlink" Target="https://upload.wikimedia.org/wikipedia/commons/thumb/4/42/Drinking_and_driving.jpg/960px-Drinking_and_driving.jpg" TargetMode="External"/><Relationship Id="rId350" Type="http://schemas.openxmlformats.org/officeDocument/2006/relationships/hyperlink" Target="https://www.legalexaminer.com/wp-content/claris-images-uploads/pedestrian-crossing@large.jpg" TargetMode="External"/><Relationship Id="rId588" Type="http://schemas.openxmlformats.org/officeDocument/2006/relationships/hyperlink" Target="https://encrypted-tbn0.gstatic.com/images?q=tbn:ANd9GcSvCQ2QfrPj0e0zIxf9oEcu_GXz_JtmnWdcZr95X7Rv4hr5ELi3JOYrZBkFmW76gPRyZdw&amp;usqp=CAU" TargetMode="External"/><Relationship Id="rId795" Type="http://schemas.openxmlformats.org/officeDocument/2006/relationships/hyperlink" Target="https://content.api.news/v3/images/bin/67f13eb2acc18315091ae2ac07bcb666" TargetMode="External"/><Relationship Id="rId2031" Type="http://schemas.openxmlformats.org/officeDocument/2006/relationships/hyperlink" Target="https://images.unsplash.com/photo-1707905862671-5227ea6099ef?w=400&amp;auto=format&amp;fit=crop&amp;q=60&amp;ixlib=rb-4.1.0&amp;ixid=M3wxMjA3fDB8MHxzZWFyY2h8NHx8dHJ1Y2slMjBjYXJyeWluZ3xlbnwwfHwwfHx8MA%3D%3D" TargetMode="External"/><Relationship Id="rId2269" Type="http://schemas.openxmlformats.org/officeDocument/2006/relationships/hyperlink" Target="https://st3.depositphotos.com/1550655/15907/i/450/depositphotos_159076868-stock-photo-over-load-on-toyota-commuter.jpg" TargetMode="External"/><Relationship Id="rId9" Type="http://schemas.openxmlformats.org/officeDocument/2006/relationships/hyperlink" Target="https://c8.alamy.com/comp/2JA250B/a-tired-driver-asleep-at-the-wheel-concept-of-man-tired-of-driving-a-man-driver-asleep-at-the-wheel-a-tired-person-sleeping-at-the-wheel-of-the-car-2JA250B.jpg" TargetMode="External"/><Relationship Id="rId210" Type="http://schemas.openxmlformats.org/officeDocument/2006/relationships/hyperlink" Target="https://st2.depositphotos.com/14799452/47325/i/380/depositphotos_473251100-stock-photo-happy-woman-eating-food-drinking.jpg" TargetMode="External"/><Relationship Id="rId448" Type="http://schemas.openxmlformats.org/officeDocument/2006/relationships/hyperlink" Target="https://st2.depositphotos.com/1609055/7563/i/380/depositphotos_75638043-stock-photo-young-woman-crossing-road.jpg" TargetMode="External"/><Relationship Id="rId655" Type="http://schemas.openxmlformats.org/officeDocument/2006/relationships/hyperlink" Target="https://media.istockphoto.com/id/930104342/photo/young-woman-looks-at-her-cellphone-and-does-not-pay-attention-to-traffic.jpg?s=612x612&amp;w=0&amp;k=20&amp;c=EykyKNFg5DrP_OmoSOgHfgn9RvCCJUx6y2DwrNhw8C8=" TargetMode="External"/><Relationship Id="rId862" Type="http://schemas.openxmlformats.org/officeDocument/2006/relationships/hyperlink" Target="https://c8.alamy.com/comp/2AW2BCR/singapore-january-2020-a-road-sign-indicating-access-to-the-construction-site-2AW2BCR.jpg" TargetMode="External"/><Relationship Id="rId1078" Type="http://schemas.openxmlformats.org/officeDocument/2006/relationships/hyperlink" Target="https://media.istockphoto.com/id/1688511727/photo/pothole-on-asphalt-road-filled-with-water.jpg?s=612x612&amp;w=0&amp;k=20&amp;c=HA4osRHz_nzftv_rA2amuJG90o5G1fQ66W4BxbS1IVE=" TargetMode="External"/><Relationship Id="rId1285" Type="http://schemas.openxmlformats.org/officeDocument/2006/relationships/hyperlink" Target="https://st5.depositphotos.com/26285604/67760/i/380/depositphotos_677606274-stock-photo-porcupine-crossing-road-khao-yai.jpg" TargetMode="External"/><Relationship Id="rId1492" Type="http://schemas.openxmlformats.org/officeDocument/2006/relationships/hyperlink" Target="https://images.unsplash.com/photo-1699447089563-7ca8dcc7cf93?w=500&amp;auto=format&amp;fit=crop&amp;q=60&amp;ixlib=rb-4.1.0&amp;ixid=M3wxMjA3fDB8MHxzZWFyY2h8NDB8fGNhciUyMGF0JTIwcmVkJTIwbGlnaHR8ZW58MHx8MHx8fDA%3D" TargetMode="External"/><Relationship Id="rId2129" Type="http://schemas.openxmlformats.org/officeDocument/2006/relationships/hyperlink" Target="https://media.istockphoto.com/id/182170895/photo/transport-of-scrap-metal-and-iron.jpg?s=612x612&amp;w=0&amp;k=20&amp;c=2i2Lyvd04SQf9753IbuzD7XTgYVVVbbVx5bAJ_f7HPk=" TargetMode="External"/><Relationship Id="rId2336" Type="http://schemas.openxmlformats.org/officeDocument/2006/relationships/hyperlink" Target="https://www.shutterstock.com/image-photo/serakhs-turkmenistan-may-18-2007-260nw-1807857361.jpg" TargetMode="External"/><Relationship Id="rId308" Type="http://schemas.openxmlformats.org/officeDocument/2006/relationships/hyperlink" Target="https://media.istockphoto.com/id/478525372/photo/woman-crossing-the-street-at-pedestrian-crossing.jpg?s=612x612&amp;w=0&amp;k=20&amp;c=eLWbO3l_mLfgUYDadVagNAKpeuJ_DuRFby3V8H3gqLQ=" TargetMode="External"/><Relationship Id="rId515" Type="http://schemas.openxmlformats.org/officeDocument/2006/relationships/hyperlink" Target="https://media.istockphoto.com/id/2096267867/photo/a-father-and-son-crossing-a-crosswalk-while-holding-hands.jpg?s=612x612&amp;w=0&amp;k=20&amp;c=rBgbuLnX-WOI7lsBK1Bup8pBmESpEgxIvyC7gbJJDkw=" TargetMode="External"/><Relationship Id="rId722" Type="http://schemas.openxmlformats.org/officeDocument/2006/relationships/hyperlink" Target="https://media.istockphoto.com/id/1194518540/photo/children-jaywalking.jpg?s=612x612&amp;w=0&amp;k=20&amp;c=S5ELtbN0eplB3RuLP8x0r-WkmKJhvVZoi51gSFOvhw4=" TargetMode="External"/><Relationship Id="rId1145" Type="http://schemas.openxmlformats.org/officeDocument/2006/relationships/hyperlink" Target="https://www.canberratimes.com.au/images/transform/v1/crop/frm/175630965/4690ef79-28e6-4d79-a8d2-263f1c852249.png/r0_135_1018_669_w1200_h630_fmax.jpg" TargetMode="External"/><Relationship Id="rId1352" Type="http://schemas.openxmlformats.org/officeDocument/2006/relationships/hyperlink" Target="https://c8.alamy.com/comp/W7P782/file-car-drivers-wait-to-give-way-to-pedestrians-on-a-crosswalk-in-beijing-china-9-july-2013-beijing-traffic-police-thursday-15-june-2017-be-W7P782.jpg" TargetMode="External"/><Relationship Id="rId1797" Type="http://schemas.openxmlformats.org/officeDocument/2006/relationships/hyperlink" Target="https://encrypted-tbn0.gstatic.com/images?q=tbn:ANd9GcRmN6wQnfCTR9GVSXZn2lO1R4tC6evb76WNBQ&amp;s" TargetMode="External"/><Relationship Id="rId89" Type="http://schemas.openxmlformats.org/officeDocument/2006/relationships/hyperlink" Target="https://www.sleepscore.com/wp-content/uploads/2016/10/blog-SleepyDriving-preview.jpg" TargetMode="External"/><Relationship Id="rId1005" Type="http://schemas.openxmlformats.org/officeDocument/2006/relationships/hyperlink" Target="https://st5.depositphotos.com/6194606/81701/i/450/depositphotos_817010644-stock-photo-perth-australia-april-2025-mitchell.jpg" TargetMode="External"/><Relationship Id="rId1212" Type="http://schemas.openxmlformats.org/officeDocument/2006/relationships/hyperlink" Target="https://media.istockphoto.com/id/618419138/photo/large-pit-on-the-old-road-in-the-winter.jpg?s=612x612&amp;w=0&amp;k=20&amp;c=-WE7kM5CHaMRQVFJYUYyq3Y3Nct20sGN43wWY3lBMmA=" TargetMode="External"/><Relationship Id="rId1657" Type="http://schemas.openxmlformats.org/officeDocument/2006/relationships/hyperlink" Target="https://i.ytimg.com/vi/QOahnV7DJ2s/hq720.jpg?sqp=-oaymwEhCK4FEIIDSFryq4qpAxMIARUAAAAAGAElAADIQj0AgKJD&amp;rs=AOn4CLB05s_1_eFosTJ8_7MO7lj7l95VDg" TargetMode="External"/><Relationship Id="rId1864" Type="http://schemas.openxmlformats.org/officeDocument/2006/relationships/hyperlink" Target="https://media.istockphoto.com/id/1388560519/photo/large-roof-box.jpg?s=612x612&amp;w=0&amp;k=20&amp;c=Tr8UzIOdr0GkCemz-maS0eIlRcztTSmHXTMZyoJxAA0=" TargetMode="External"/><Relationship Id="rId1517" Type="http://schemas.openxmlformats.org/officeDocument/2006/relationships/hyperlink" Target="https://media.istockphoto.com/id/483375405/photo/car-at-red-light.jpg?s=612x612&amp;w=0&amp;k=20&amp;c=I2exUhQ61vG1-UEzPNxwxF3kimkRrM2phiy2DBUEUqs=" TargetMode="External"/><Relationship Id="rId1724" Type="http://schemas.openxmlformats.org/officeDocument/2006/relationships/hyperlink" Target="https://media.licdn.com/dms/image/v2/C5612AQEK8ndBs5M_lg/article-cover_image-shrink_720_1280/article-cover_image-shrink_720_1280/0/1547761671901?e=2147483647&amp;v=beta&amp;t=HlaQdZ9xFp-uD_Rx7UvWMaGKMmjwzHf7jUPEeXU5UR8" TargetMode="External"/><Relationship Id="rId16" Type="http://schemas.openxmlformats.org/officeDocument/2006/relationships/hyperlink" Target="https://encrypted-tbn0.gstatic.com/images?q=tbn:ANd9GcSBBAqHIsPq0uGWEjuW0SgHflSVqP24-lk3UY9ySmpTT-cfcHxt75kG_Ez7HYqzDMLv-1o&amp;usqp=CAU" TargetMode="External"/><Relationship Id="rId1931" Type="http://schemas.openxmlformats.org/officeDocument/2006/relationships/hyperlink" Target="https://media.istockphoto.com/id/1252790465/photo/truck-with-refrigerated-semi-trailer.jpg?s=612x612&amp;w=0&amp;k=20&amp;c=waeG6Akro2uPxdGve8ghlrTqBlca0r6UVxrNMtcAB3M=" TargetMode="External"/><Relationship Id="rId2193" Type="http://schemas.openxmlformats.org/officeDocument/2006/relationships/hyperlink" Target="https://st5.depositphotos.com/72897924/61726/i/450/depositphotos_617269340-stock-photo-african-people-street-senegal.jpg" TargetMode="External"/><Relationship Id="rId165" Type="http://schemas.openxmlformats.org/officeDocument/2006/relationships/hyperlink" Target="https://media.istockphoto.com/id/1639627914/photo/young-man-eating-a-sandwich-while-driving-a-car.webp?s=2048x2048&amp;w=is&amp;k=20&amp;c=0u3vyUzJSCNKGh9f5iMiJeBOViFjHL3NTQLsja5gVLc=" TargetMode="External"/><Relationship Id="rId372" Type="http://schemas.openxmlformats.org/officeDocument/2006/relationships/hyperlink" Target="https://live.staticflickr.com/148/332498793_c691a5507e_b.jpg" TargetMode="External"/><Relationship Id="rId677" Type="http://schemas.openxmlformats.org/officeDocument/2006/relationships/hyperlink" Target="https://media.istockphoto.com/id/2156838758/photo/woman-strolls-with-phone-and-ice-cream.jpg?s=612x612&amp;w=0&amp;k=20&amp;c=2wloP8A1JOFCsm2VAQRmqhfzWmblhpDTw8D5uGFtTcI=" TargetMode="External"/><Relationship Id="rId2053" Type="http://schemas.openxmlformats.org/officeDocument/2006/relationships/hyperlink" Target="https://media.istockphoto.com/id/2210808753/photo/a-truck-loaded-with-logs-drives-under-a-cloudy-blue-sky-logistic-and-transportation-of-timber.jpg?s=612x612&amp;w=0&amp;k=20&amp;c=m6zRFPyafOsIpUgFc31YpE2s4-H2SsHfv9UbZh_uX5Y=" TargetMode="External"/><Relationship Id="rId2260" Type="http://schemas.openxmlformats.org/officeDocument/2006/relationships/hyperlink" Target="https://st4.depositphotos.com/1001433/22244/i/450/depositphotos_222443128-stock-photo-india-pune-april-2018-indian.jpg" TargetMode="External"/><Relationship Id="rId2358" Type="http://schemas.openxmlformats.org/officeDocument/2006/relationships/printerSettings" Target="../printerSettings/printerSettings1.bin"/><Relationship Id="rId232" Type="http://schemas.openxmlformats.org/officeDocument/2006/relationships/hyperlink" Target="https://st5.depositphotos.com/38340270/78389/i/380/depositphotos_783890122-stock-photo-pretty-woman-her-30s-applying.jpg" TargetMode="External"/><Relationship Id="rId884" Type="http://schemas.openxmlformats.org/officeDocument/2006/relationships/hyperlink" Target="https://media.istockphoto.com/id/184106933/photo/white-truck-leaving-montreal.jpg?s=612x612&amp;w=0&amp;k=20&amp;c=lgqE9qgwZF6yOKLFqtYqre2rivHfwZFE_bzM7TQ3zL8=" TargetMode="External"/><Relationship Id="rId2120" Type="http://schemas.openxmlformats.org/officeDocument/2006/relationships/hyperlink" Target="https://st3.depositphotos.com/29384342/33526/i/450/depositphotos_335266756-stock-photo-car-desert.jpg" TargetMode="External"/><Relationship Id="rId537" Type="http://schemas.openxmlformats.org/officeDocument/2006/relationships/hyperlink" Target="https://images.unsplash.com/photo-1698374081634-cae02713b1a6?w=500&amp;auto=format&amp;fit=crop&amp;q=60&amp;ixlib=rb-4.1.0&amp;ixid=M3wxMjA3fDB8MHxzZWFyY2h8MTIwfHxwZWRlc3RyaWFuJTIwd2Fsa2luZyUyMGdyZWVuJTIwbGlnaHR8ZW58MHx8MHx8fDA%3D" TargetMode="External"/><Relationship Id="rId744" Type="http://schemas.openxmlformats.org/officeDocument/2006/relationships/hyperlink" Target="https://st4.depositphotos.com/21607914/24190/i/380/depositphotos_241900166-stock-photo-chinese-pedestrians-jaywalk-road-red.jpg" TargetMode="External"/><Relationship Id="rId951" Type="http://schemas.openxmlformats.org/officeDocument/2006/relationships/hyperlink" Target="https://media.istockphoto.com/id/1203937499/photo/city-road-through-modern-buildings-in-beijing.jpg?s=612x612&amp;w=0&amp;k=20&amp;c=2Mm1s2JFVVD7jv4sM4cHe8TvCe25xBe-w6W19rWzwQY=" TargetMode="External"/><Relationship Id="rId1167" Type="http://schemas.openxmlformats.org/officeDocument/2006/relationships/hyperlink" Target="https://media.istockphoto.com/id/137302464/photo/the-aftermath-of-severe-weather-on-a-road.jpg?s=612x612&amp;w=0&amp;k=20&amp;c=xVr4hrNYfL9VArNOT7tm-Ixxn6M4soWGMZsdOv4IF8A=" TargetMode="External"/><Relationship Id="rId1374" Type="http://schemas.openxmlformats.org/officeDocument/2006/relationships/hyperlink" Target="https://images.unsplash.com/photo-1707179174362-2c951c1ea8d0?w=500&amp;auto=format&amp;fit=crop&amp;q=60&amp;ixlib=rb-4.1.0&amp;ixid=M3wxMjA3fDB8MHxzZWFyY2h8MjZ8fGNhciUyMGF0JTIwcmVkJTIwbGlnaHR8ZW58MHx8MHx8fDA%3D" TargetMode="External"/><Relationship Id="rId1581" Type="http://schemas.openxmlformats.org/officeDocument/2006/relationships/hyperlink" Target="https://media.istockphoto.com/id/470842736/photo/city-highway.jpg?s=612x612&amp;w=0&amp;k=20&amp;c=tZjtatMw_Zd8mg3v6YEu9Lmr-Doo9Y1lhiUBLZnUlGM=" TargetMode="External"/><Relationship Id="rId1679" Type="http://schemas.openxmlformats.org/officeDocument/2006/relationships/hyperlink" Target="https://i.dailymail.co.uk/i/pix/2017/02/01/17/3CBC089B00000578-4180528-image-a-31_1485968419972.jpg" TargetMode="External"/><Relationship Id="rId2218" Type="http://schemas.openxmlformats.org/officeDocument/2006/relationships/hyperlink" Target="https://st.depositphotos.com/1005951/55876/i/450/depositphotos_558767506-stock-photo-very-large-roof-box-storage.jpg" TargetMode="External"/><Relationship Id="rId80" Type="http://schemas.openxmlformats.org/officeDocument/2006/relationships/hyperlink" Target="https://media.istockphoto.com/id/2157480611/photo/mother-and-son-behind-the-wheel-of-the-vehicle-and-speed-face-transportation-and-family.jpg?s=1024x1024&amp;w=is&amp;k=20&amp;c=4FTXONZ1lRzx3lgQeb3SDCIGUYzprDQUe6PmXshTd1w=" TargetMode="External"/><Relationship Id="rId604" Type="http://schemas.openxmlformats.org/officeDocument/2006/relationships/hyperlink" Target="https://cassisilawfirm.com/wp-content/uploads/2023/06/Pedestrian_Accident.jpg" TargetMode="External"/><Relationship Id="rId811" Type="http://schemas.openxmlformats.org/officeDocument/2006/relationships/hyperlink" Target="https://c8.alamy.com/comp/2AW2BCR/singapore-january-2020-a-road-sign-indicating-access-to-the-construction-site-2AW2BCR.jpg" TargetMode="External"/><Relationship Id="rId1027" Type="http://schemas.openxmlformats.org/officeDocument/2006/relationships/hyperlink" Target="https://media.istockphoto.com/id/1148591236/photo/empty-asphalt-road-with-buildings-in-the-city.jpg?s=612x612&amp;w=0&amp;k=20&amp;c=VBLu8GxlUatECihoiORQTZJtpOJc2_-pAzvS2vyGZK0=" TargetMode="External"/><Relationship Id="rId1234" Type="http://schemas.openxmlformats.org/officeDocument/2006/relationships/hyperlink" Target="https://media.istockphoto.com/id/157418325/photo/broken-road.jpg?s=612x612&amp;w=0&amp;k=20&amp;c=Jx-L77IURiKBm2r80zULrlf4BEkPPNFaXx2pL2QGpvk=" TargetMode="External"/><Relationship Id="rId1441" Type="http://schemas.openxmlformats.org/officeDocument/2006/relationships/hyperlink" Target="https://media.istockphoto.com/id/877227118/photo/young-girl-is-fastening-her-seat-belt-in-a-rainy-day.jpg?s=612x612&amp;w=0&amp;k=20&amp;c=hjB3M6HRJpa_Hv9L9t5zHu1N4NChm1mdrXBWUJbEpi4=" TargetMode="External"/><Relationship Id="rId1886" Type="http://schemas.openxmlformats.org/officeDocument/2006/relationships/hyperlink" Target="https://media.istockphoto.com/id/869278240/photo/truck-carrying-hay-in-his-body-making-hay-for-the-winter.jpg?s=612x612&amp;w=0&amp;k=20&amp;c=ia_AYinfTWXpvRHb6wht7Ozj5N69MZEWHqTVVShVbno=" TargetMode="External"/><Relationship Id="rId909" Type="http://schemas.openxmlformats.org/officeDocument/2006/relationships/hyperlink" Target="https://media.istockphoto.com/id/1248118439/photo/road-on-the-island-of-tasmania.jpg?s=612x612&amp;w=0&amp;k=20&amp;c=KwIdpCoW3bZYUlMIgxJbTDLnK-qjy2QNdk1djLN32Oc=" TargetMode="External"/><Relationship Id="rId1301" Type="http://schemas.openxmlformats.org/officeDocument/2006/relationships/hyperlink" Target="https://st3.depositphotos.com/29384342/35115/i/380/depositphotos_351153820-stock-photo-picturesque-view-countryside-scenery.jpg" TargetMode="External"/><Relationship Id="rId1539" Type="http://schemas.openxmlformats.org/officeDocument/2006/relationships/hyperlink" Target="https://img.philkotse.com/temp/2024/07/27/inter-3c7b-wm-b688.webp" TargetMode="External"/><Relationship Id="rId1746" Type="http://schemas.openxmlformats.org/officeDocument/2006/relationships/hyperlink" Target="https://s.yimg.com/ny/api/res/1.2/DEaCbq07ZnUKrqZa2ll90g--/YXBwaWQ9aGlnaGxhbmRlcjt3PTY0MDtoPTM0NQ--/https:/s.yimg.com/os/creatr-uploaded-images/2023-04/6f221f00-e3e0-11ed-be2e-782f0377c04c" TargetMode="External"/><Relationship Id="rId1953" Type="http://schemas.openxmlformats.org/officeDocument/2006/relationships/hyperlink" Target="https://media.istockphoto.com/id/1429557222/photo/caravan-travel.jpg?s=612x612&amp;w=0&amp;k=20&amp;c=7ksG9pI_rypcJtFkMKh26LLJY98FNsxt8jEVIe0RStU=" TargetMode="External"/><Relationship Id="rId38" Type="http://schemas.openxmlformats.org/officeDocument/2006/relationships/hyperlink" Target="https://st2.depositphotos.com/14799452/47325/i/380/depositphotos_473251100-stock-photo-happy-woman-eating-food-drinking.jpg" TargetMode="External"/><Relationship Id="rId1606" Type="http://schemas.openxmlformats.org/officeDocument/2006/relationships/hyperlink" Target="https://tse2.mm.bing.net/th/id/OIP.hepp42cIKG2BKRSmveec_gHaE8?r=0&amp;pid=Api" TargetMode="External"/><Relationship Id="rId1813" Type="http://schemas.openxmlformats.org/officeDocument/2006/relationships/hyperlink" Target="https://encrypted-tbn0.gstatic.com/images?q=tbn:ANd9GcSNWL4_Iyu-_7liBKlSnd4xZ2XxAKysOIuU4nppAS6I9opNAssS8aVU76BEd6x9JRBeomU&amp;usqp=CAU" TargetMode="External"/><Relationship Id="rId187" Type="http://schemas.openxmlformats.org/officeDocument/2006/relationships/hyperlink" Target="https://st4.depositphotos.com/1635543/41922/i/380/depositphotos_419223430-stock-photo-asian-woman-eating-food-fastfood.jpg" TargetMode="External"/><Relationship Id="rId394" Type="http://schemas.openxmlformats.org/officeDocument/2006/relationships/hyperlink" Target="https://media.istockphoto.com/id/1287919965/photo/mother-and-son-crossing-street.jpg?s=612x612&amp;w=0&amp;k=20&amp;c=E5DZ93TJOCs7XKu3sVsrY_Hnq_HI3sPmVzw0x3KtJq0=" TargetMode="External"/><Relationship Id="rId2075" Type="http://schemas.openxmlformats.org/officeDocument/2006/relationships/hyperlink" Target="https://media.istockphoto.com/id/474505090/photo/lorry-with-hay-bales.jpg?s=612x612&amp;w=0&amp;k=20&amp;c=g4DqkKG1ORHA5fmdcqdQjGfeEt6uiuGfDovhLCR4TGY=" TargetMode="External"/><Relationship Id="rId2282" Type="http://schemas.openxmlformats.org/officeDocument/2006/relationships/hyperlink" Target="https://images.unsplash.com/photo-1593453956714-f33d116c223c?w=400&amp;auto=format&amp;fit=crop&amp;q=60&amp;ixlib=rb-4.1.0&amp;ixid=M3wxMjA3fDB8MHxzZWFyY2h8OHx8dHJ1Y2slMjBjYXJyeWluZ3xlbnwwfHwwfHx8MA%3D%3D" TargetMode="External"/><Relationship Id="rId254" Type="http://schemas.openxmlformats.org/officeDocument/2006/relationships/hyperlink" Target="https://st.depositphotos.com/2534189/2866/i/380/depositphotos_28666549-stock-photo-man-at-wheel-using-cell.jpg" TargetMode="External"/><Relationship Id="rId699" Type="http://schemas.openxmlformats.org/officeDocument/2006/relationships/hyperlink" Target="https://media.istockphoto.com/id/930104238/photo/young-woman-looks-at-her-cellphone-and-does-not-pay-attention-to-traffic.jpg?s=612x612&amp;w=0&amp;k=20&amp;c=PFeGpUcjBVvIC2Tgr8IeVDxiiwmol6Zb9F1f_yc-zuc=" TargetMode="External"/><Relationship Id="rId1091" Type="http://schemas.openxmlformats.org/officeDocument/2006/relationships/hyperlink" Target="https://static6.depositphotos.com/1003512/579/i/380/depositphotos_5792291-stock-photo-calves-on-the-road.jpg" TargetMode="External"/><Relationship Id="rId114" Type="http://schemas.openxmlformats.org/officeDocument/2006/relationships/hyperlink" Target="https://www.iii.org/sites/default/files/p_woman_lipstick_drive_453162261.jpg" TargetMode="External"/><Relationship Id="rId461" Type="http://schemas.openxmlformats.org/officeDocument/2006/relationships/hyperlink" Target="https://plus.unsplash.com/premium_photo-1661671983641-8ec2c3fcd8cb?w=500&amp;auto=format&amp;fit=crop&amp;q=60&amp;ixlib=rb-4.1.0&amp;ixid=M3wxMjA3fDB8MHxzZWFyY2h8NjF8fHBlZGVzdHJpYW4lMjB3YWxraW5nJTIwZ3JlZW4lMjBsaWdodHxlbnwwfHwwfHx8MA%3D%3D" TargetMode="External"/><Relationship Id="rId559" Type="http://schemas.openxmlformats.org/officeDocument/2006/relationships/hyperlink" Target="https://th-i.thgim.com/public/incoming/paq75q/article65863100.ece/alternates/LANDSCAPE_1200/vjkvg-ped%201.jpg" TargetMode="External"/><Relationship Id="rId766" Type="http://schemas.openxmlformats.org/officeDocument/2006/relationships/hyperlink" Target="https://www.delawareonline.com/gcdn/presto/2018/08/06/PWIL/612222e6-c0f1-41ea-be23-6b0e7a355920-080618-Jaywalking-SP107.JPG" TargetMode="External"/><Relationship Id="rId1189" Type="http://schemas.openxmlformats.org/officeDocument/2006/relationships/hyperlink" Target="https://media.istockphoto.com/id/1151871082/photo/tree-that-fell-after-a-storm-in-the-urban-area-old-tree-trunk-fallen-in-the-city.jpg?s=612x612&amp;w=0&amp;k=20&amp;c=cR0pP-kTpPPJKCuR4qPD4PDNGyRqGVyP7uFd2jv0a60=" TargetMode="External"/><Relationship Id="rId1396" Type="http://schemas.openxmlformats.org/officeDocument/2006/relationships/hyperlink" Target="https://media.istockphoto.com/id/2144172069/photo/traffic-and-traffic-signs-on-freeway.jpg?s=612x612&amp;w=0&amp;k=20&amp;c=EaL-uNILc37VMPAc67tzbzv2cJYH48_ZJlvVmO5tIlo=" TargetMode="External"/><Relationship Id="rId2142" Type="http://schemas.openxmlformats.org/officeDocument/2006/relationships/hyperlink" Target="https://c8.alamy.com/comp/RFPA79/load-vehicles-can-sometimes-create-traffic-hazards-RFPA79.jpg" TargetMode="External"/><Relationship Id="rId321" Type="http://schemas.openxmlformats.org/officeDocument/2006/relationships/hyperlink" Target="https://images.unsplash.com/photo-1717199891158-66008d9c68b5?w=500&amp;auto=format&amp;fit=crop&amp;q=60&amp;ixlib=rb-4.1.0&amp;ixid=M3wxMjA3fDB8MHxzZWFyY2h8NjZ8fHBlZGVzdHJpYW4lMjB3YWxraW5nJTIwZ3JlZW4lMjBsaWdodHxlbnwwfHwwfHx8MA%3D%3D" TargetMode="External"/><Relationship Id="rId419" Type="http://schemas.openxmlformats.org/officeDocument/2006/relationships/hyperlink" Target="https://media.istockphoto.com/id/1144320423/photo/crosswalk-people-crossing-in-downtown.jpg?s=612x612&amp;w=0&amp;k=20&amp;c=00bXtY6qbcH_3XGO_XJeCz167oR4VQYEy9D2hrg6w5M=" TargetMode="External"/><Relationship Id="rId626" Type="http://schemas.openxmlformats.org/officeDocument/2006/relationships/hyperlink" Target="https://live.staticflickr.com/7157/6494132543_3bbc295cfc_b.jpg" TargetMode="External"/><Relationship Id="rId973" Type="http://schemas.openxmlformats.org/officeDocument/2006/relationships/hyperlink" Target="https://st2.depositphotos.com/1035886/6468/i/450/depositphotos_64680483-stock-photo-perth-freeway-traffic.jpg" TargetMode="External"/><Relationship Id="rId1049" Type="http://schemas.openxmlformats.org/officeDocument/2006/relationships/hyperlink" Target="https://upload.wikimedia.org/wikipedia/commons/thumb/7/77/Deer_Park_Bypass_eastbound_at_Western_Ring_Road.jpg/250px-Deer_Park_Bypass_eastbound_at_Western_Ring_Road.jpg" TargetMode="External"/><Relationship Id="rId1256" Type="http://schemas.openxmlformats.org/officeDocument/2006/relationships/hyperlink" Target="https://media.istockphoto.com/id/157527693/photo/traffic-accident.jpg?s=612x612&amp;w=0&amp;k=20&amp;c=VkJmDeJjvcUzWkR75Axc786TzY1hNkmPaQqKP6PVW84=" TargetMode="External"/><Relationship Id="rId2002" Type="http://schemas.openxmlformats.org/officeDocument/2006/relationships/hyperlink" Target="https://images.unsplash.com/photo-1501700493788-fa1a4fc9fe62?w=400&amp;auto=format&amp;fit=crop&amp;q=60&amp;ixlib=rb-4.1.0&amp;ixid=M3wxMjA3fDB8MHxzZWFyY2h8NHx8dHJ1Y2t8ZW58MHx8MHx8fDA%3D" TargetMode="External"/><Relationship Id="rId2307" Type="http://schemas.openxmlformats.org/officeDocument/2006/relationships/hyperlink" Target="https://media.istockphoto.com/id/2156661569/photo/straw-transport-somewhere-in-the-central-part-of-morocco.jpg?s=612x612&amp;w=0&amp;k=20&amp;c=01yJ-5ZapNo3FquzD18eEh0H738o5Zv2nv51dYEMXGM=" TargetMode="External"/><Relationship Id="rId833" Type="http://schemas.openxmlformats.org/officeDocument/2006/relationships/hyperlink" Target="https://media.istockphoto.com/id/1226412091/photo/circular-quay-ferry-terminal-emptied.jpg?s=612x612&amp;w=0&amp;k=20&amp;c=megYWF8JZ1wUV0Yu9WuT1TA9CwBuKkYL8cmJV8A6heg=" TargetMode="External"/><Relationship Id="rId1116" Type="http://schemas.openxmlformats.org/officeDocument/2006/relationships/hyperlink" Target="https://cdn.prod.website-files.com/633a774cc6e89f417caf380c/6372e10439e184188c00cdfd_JtnzKxnQwo1b2VjRltx5Rgr5hvWGVT7JJFaSoZzuPRJ5ApmuXQYMppQSe358gj3q7Csm9KNTdxnKUagaXnS8Ca9DC_lmqcu17Hn7u-z9TU_STRHOqFF8L8e0j1gkc3lLm4KQbIsOhnoLTbryNUwsNfa8lhJuRX3ZvFSfCR-uEdM9_tICiWPUMU8w8lktjA.jpeg" TargetMode="External"/><Relationship Id="rId1463" Type="http://schemas.openxmlformats.org/officeDocument/2006/relationships/hyperlink" Target="https://media.istockphoto.com/id/510399253/photo/busy-highway.jpg?s=612x612&amp;w=0&amp;k=20&amp;c=ex27rahrcjx2ZDB5qJgSKgTPqEzx6IBTeRhg75aGrz4=" TargetMode="External"/><Relationship Id="rId1670" Type="http://schemas.openxmlformats.org/officeDocument/2006/relationships/hyperlink" Target="https://www.hikvision.com/content/dam/hikvision/en/marketing/image/solution/solutions-by-industry/traffic/traffic-violation-management/1-reducing-enforcement-disputes.jpg" TargetMode="External"/><Relationship Id="rId1768" Type="http://schemas.openxmlformats.org/officeDocument/2006/relationships/hyperlink" Target="https://thumbs.dreamstime.com/b/illegal-parking-pedestrian-crossing-violation-rules-rights-pedestrians-54732203.jpg" TargetMode="External"/><Relationship Id="rId900" Type="http://schemas.openxmlformats.org/officeDocument/2006/relationships/hyperlink" Target="https://media.istockphoto.com/id/626590212/photo/straight-line-australian-highway-in-rural-outback.jpg?s=612x612&amp;w=0&amp;k=20&amp;c=jZQ21WENfqvsjyzzDaO4ajf98w8eVkQWCSgsa7fb_Ns=" TargetMode="External"/><Relationship Id="rId1323" Type="http://schemas.openxmlformats.org/officeDocument/2006/relationships/hyperlink" Target="https://media.istockphoto.com/id/1167145186/photo/koala-sitting-in-the-middle-of-the-road.jpg?s=612x612&amp;w=0&amp;k=20&amp;c=2WL-Mv4DE2kGi2QTBvrCTdYuSgO44zkvl_40kt33PHs=" TargetMode="External"/><Relationship Id="rId1530" Type="http://schemas.openxmlformats.org/officeDocument/2006/relationships/hyperlink" Target="https://cyclingsavvy.org/wp-content/uploads/2022/12/multiple-yelds.jpg" TargetMode="External"/><Relationship Id="rId1628" Type="http://schemas.openxmlformats.org/officeDocument/2006/relationships/hyperlink" Target="https://media.istockphoto.com/id/1323332711/photo/a-very-busy-sydney-road-in-brunswick-in-the-early-evening-light.jpg?s=612x612&amp;w=0&amp;k=20&amp;c=CIiTSAHjBbZcQkKeQ3lKgEy7rK6WqbgHcS1dMBow1a4=" TargetMode="External"/><Relationship Id="rId1975" Type="http://schemas.openxmlformats.org/officeDocument/2006/relationships/hyperlink" Target="https://media.istockphoto.com/id/697702430/photo/car-with-two-canoes-on-top-roof-in-mountains.jpg?s=612x612&amp;w=0&amp;k=20&amp;c=ZnXjhpQMEC5b4jcAZJrv-rGkNp5aFLrJl-Ibn0cNtsc=" TargetMode="External"/><Relationship Id="rId1835" Type="http://schemas.openxmlformats.org/officeDocument/2006/relationships/hyperlink" Target="https://encrypted-tbn0.gstatic.com/images?q=tbn:ANd9GcTu7Iu_TLmf4qHybpaVIhcsvQF5PsJ7aNM5O4YJiccNAvJgSVPZZya3ZxfGlIUlS87HPQE&amp;usqp=CAU" TargetMode="External"/><Relationship Id="rId1902" Type="http://schemas.openxmlformats.org/officeDocument/2006/relationships/hyperlink" Target="https://img.rasset.ie/00116b54-500.jpg" TargetMode="External"/><Relationship Id="rId2097" Type="http://schemas.openxmlformats.org/officeDocument/2006/relationships/hyperlink" Target="https://www.team-bhp.com/forum/attachments/road-safety/2519250d1697766847-cargo-protruding-outside-trucks-height-width-traffic-hazard-killer-fb_img_1697766480549.jpg" TargetMode="External"/><Relationship Id="rId276" Type="http://schemas.openxmlformats.org/officeDocument/2006/relationships/hyperlink" Target="https://st4.depositphotos.com/4218696/27231/i/380/depositphotos_272314514-stock-photo-african-american-couple-using-navigator.jpg" TargetMode="External"/><Relationship Id="rId483" Type="http://schemas.openxmlformats.org/officeDocument/2006/relationships/hyperlink" Target="https://images.pexels.com/photos/31585198/pexels-photo-31585198.jpeg" TargetMode="External"/><Relationship Id="rId690" Type="http://schemas.openxmlformats.org/officeDocument/2006/relationships/hyperlink" Target="https://media.istockphoto.com/id/1208387257/photo/pedestrian-checking-her-phone.jpg?s=612x612&amp;w=0&amp;k=20&amp;c=258Ds2jTEaGyAq1EUVxlbQeXt-q-gaZ2rUPiV1QMPTc=" TargetMode="External"/><Relationship Id="rId2164" Type="http://schemas.openxmlformats.org/officeDocument/2006/relationships/hyperlink" Target="https://www.team-bhp.com/forum/attachments/road-safety/2519250d1697766847-cargo-protruding-outside-trucks-height-width-traffic-hazard-killer-fb_img_1697766480549.jpg" TargetMode="External"/><Relationship Id="rId136" Type="http://schemas.openxmlformats.org/officeDocument/2006/relationships/hyperlink" Target="https://encrypted-tbn0.gstatic.com/images?q=tbn:ANd9GcSQi60NR5C_mhIOdPKqpLY6ZCF3S8bse7oQFAB72sXYGRrprtMRyq1ahILc-reoBbGvb-E&amp;usqp=CAU" TargetMode="External"/><Relationship Id="rId343" Type="http://schemas.openxmlformats.org/officeDocument/2006/relationships/hyperlink" Target="https://mlazgc8qzi72.i.optimole.com/w:1080/h:1080/q:mauto/ig:avif/https:/national-claims.co.uk/wp-content/uploads/2024/03/behzad-ghaffarian-GdRI9Bh2nJo-unsplash-1.jpg" TargetMode="External"/><Relationship Id="rId550" Type="http://schemas.openxmlformats.org/officeDocument/2006/relationships/hyperlink" Target="https://media.istockphoto.com/id/949120374/photo/young-women-in-budapest-crossing-the-street-at-the-pedestrian-walkway.jpg?s=612x612&amp;w=0&amp;k=20&amp;c=Eqv_zuhb2eaTgperi0vhOJzYCKDTHijdO3gbLvzR70Q=" TargetMode="External"/><Relationship Id="rId788" Type="http://schemas.openxmlformats.org/officeDocument/2006/relationships/hyperlink" Target="https://st4.depositphotos.com/21607914/23781/i/380/depositphotos_237818180-stock-photo-file-chinese-jaywalkers-walk-road.jpg" TargetMode="External"/><Relationship Id="rId995" Type="http://schemas.openxmlformats.org/officeDocument/2006/relationships/hyperlink" Target="https://st3.depositphotos.com/1585997/31917/i/450/depositphotos_319175698-stock-photo-traffic-to-perth-central-financial.jpg" TargetMode="External"/><Relationship Id="rId1180" Type="http://schemas.openxmlformats.org/officeDocument/2006/relationships/hyperlink" Target="https://media.istockphoto.com/id/488493470/photo/wind-storm-damage.jpg?s=612x612&amp;w=0&amp;k=20&amp;c=G4CClLf4XXmKi5pnLF_-LloAjG56rONVgFFzuLCOF7o=" TargetMode="External"/><Relationship Id="rId2024" Type="http://schemas.openxmlformats.org/officeDocument/2006/relationships/hyperlink" Target="https://media.istockphoto.com/id/1289928297/photo/white-semi-trailer-truck-heading-down-a-four-lane-highway-at-dusk.jpg?s=612x612&amp;w=0&amp;k=20&amp;c=KrNejbm8JEJ4JxCzQrJp_pJezj-w--uElAIg0QrQo0c=" TargetMode="External"/><Relationship Id="rId2231" Type="http://schemas.openxmlformats.org/officeDocument/2006/relationships/hyperlink" Target="https://st5.depositphotos.com/31126772/74815/i/450/depositphotos_748153816-stock-photo-thule-wingbar-evo-roof-bike.jpg" TargetMode="External"/><Relationship Id="rId203" Type="http://schemas.openxmlformats.org/officeDocument/2006/relationships/hyperlink" Target="https://st2.depositphotos.com/14799452/47325/i/380/depositphotos_473251102-stock-photo-happy-woman-eating-food-drinking.jpg" TargetMode="External"/><Relationship Id="rId648" Type="http://schemas.openxmlformats.org/officeDocument/2006/relationships/hyperlink" Target="https://media.istockphoto.com/id/1181241726/photo/young-man-walking-at-crosswalk-on-a-sao-paulos-street.jpg?s=612x612&amp;w=0&amp;k=20&amp;c=BbYxvaMZazg6gppfk1l9Rj5Q25f6hsaA3NbBcmPdGsM=" TargetMode="External"/><Relationship Id="rId855" Type="http://schemas.openxmlformats.org/officeDocument/2006/relationships/hyperlink" Target="https://media.istockphoto.com/id/1096519286/photo/inner-city-road.jpg?s=612x612&amp;w=0&amp;k=20&amp;c=JGrRLAuxUTNye8b7gYQFRPI7fpHp2L9f0YXUNKMANh0=" TargetMode="External"/><Relationship Id="rId1040" Type="http://schemas.openxmlformats.org/officeDocument/2006/relationships/hyperlink" Target="https://media.istockphoto.com/id/619498880/photo/professional-use-auto-advertising-backplate.jpg?s=612x612&amp;w=0&amp;k=20&amp;c=Z0Qk6gE9sUzjbavK_eUg0oQWB2Jw83RpAA3l1mq6UGg=" TargetMode="External"/><Relationship Id="rId1278" Type="http://schemas.openxmlformats.org/officeDocument/2006/relationships/hyperlink" Target="https://st4.depositphotos.com/2716431/31034/i/380/depositphotos_310340822-stock-photo-reindeers-crossing-a-road-in.jpg" TargetMode="External"/><Relationship Id="rId1485" Type="http://schemas.openxmlformats.org/officeDocument/2006/relationships/hyperlink" Target="https://images.unsplash.com/photo-1613650427984-be2f16df8075?w=500&amp;auto=format&amp;fit=crop&amp;q=60&amp;ixlib=rb-4.1.0&amp;ixid=M3wxMjA3fDB8MHxwaG90by1yZWxhdGVkfDF8fHxlbnwwfHx8fHw%3D" TargetMode="External"/><Relationship Id="rId1692" Type="http://schemas.openxmlformats.org/officeDocument/2006/relationships/hyperlink" Target="https://media.istockphoto.com/id/1214893505/photo/people-without-helmet-violating-traffic-rules-boy-wearing-an-n-95-face-mask-sits-behind-his.jpg?s=612x612&amp;w=0&amp;k=20&amp;c=V9IEmbVA2J8XgTkKKLYM0fwh3Q9OoTGHKMeoH6Lg1oQ=" TargetMode="External"/><Relationship Id="rId2329" Type="http://schemas.openxmlformats.org/officeDocument/2006/relationships/hyperlink" Target="https://encrypted-tbn0.gstatic.com/images?q=tbn:ANd9GcRt8AZ6bg6Uws0AjZQdGVrJFoPHUW2c2mGsJw&amp;s" TargetMode="External"/><Relationship Id="rId410" Type="http://schemas.openxmlformats.org/officeDocument/2006/relationships/hyperlink" Target="https://media.istockphoto.com/id/163654089/photo/car-stopped-for-pedestrian.jpg?s=612x612&amp;w=0&amp;k=20&amp;c=KR2rAvp9aU4KYFs8G6d4g3hvW-HyMy70Eyk6i66zb1w=" TargetMode="External"/><Relationship Id="rId508" Type="http://schemas.openxmlformats.org/officeDocument/2006/relationships/hyperlink" Target="https://media.istockphoto.com/id/1265396637/photo/woman-man-and-child-cross-road-at-crosswalk.jpg?s=612x612&amp;w=0&amp;k=20&amp;c=S6ED1VMafFotHBgiE_kU7eIyD57LoiLs8HmFWl5CQp4=" TargetMode="External"/><Relationship Id="rId715" Type="http://schemas.openxmlformats.org/officeDocument/2006/relationships/hyperlink" Target="https://media.istockphoto.com/id/1625170893/photo/people-jaywalking-in-new-york-city.jpg?s=612x612&amp;w=0&amp;k=20&amp;c=mzG9kd2F9-yyGHGi69fEsARyA6TzOuJxC-qTHez8pzI=" TargetMode="External"/><Relationship Id="rId922" Type="http://schemas.openxmlformats.org/officeDocument/2006/relationships/hyperlink" Target="https://media.istockphoto.com/id/1216211417/photo/asphalt-road-background-3d-rendering.jpg?s=612x612&amp;w=0&amp;k=20&amp;c=DU9HkDoyMkh9AijS1HSbyC1Gj0bAKxKdc3n4ingABOY=" TargetMode="External"/><Relationship Id="rId1138" Type="http://schemas.openxmlformats.org/officeDocument/2006/relationships/hyperlink" Target="https://media.istockphoto.com/id/460744007/photo/night-driving.jpg?s=612x612&amp;w=0&amp;k=20&amp;c=-gzQPmNt91FhMccpYK93LiJsdtfeLFeazj-xST2bYQU=" TargetMode="External"/><Relationship Id="rId1345" Type="http://schemas.openxmlformats.org/officeDocument/2006/relationships/hyperlink" Target="https://media.istockphoto.com/id/1776797587/photo/a-car-sits-in-the-street-after-water-was-flooding-it.jpg?s=612x612&amp;w=0&amp;k=20&amp;c=iZ4E-JtDawtQ7srEghYwtFrZ9PmTf71K7-LzljgPLmw=" TargetMode="External"/><Relationship Id="rId1552" Type="http://schemas.openxmlformats.org/officeDocument/2006/relationships/hyperlink" Target="https://media.istockphoto.com/id/159406920/photo/aerial-view-of-cars-in-traffic.jpg?s=612x612&amp;w=0&amp;k=20&amp;c=2BeXnk1EppE_mfWgYFqoXidmge0uAhSk9gl8bbtHyF8=" TargetMode="External"/><Relationship Id="rId1997" Type="http://schemas.openxmlformats.org/officeDocument/2006/relationships/hyperlink" Target="https://media.istockphoto.com/id/2171315771/photo/car-for-traveling-with-a-mountain-road.jpg?s=612x612&amp;w=0&amp;k=20&amp;c=eirBpiMqIcKhocic8rMCULfiGGIwz5IyDRoFnkV617o=" TargetMode="External"/><Relationship Id="rId1205" Type="http://schemas.openxmlformats.org/officeDocument/2006/relationships/hyperlink" Target="https://media.istockphoto.com/id/2164167925/photo/puddles-and-damaged-asphalt-road-edge-sunny-day.jpg?s=612x612&amp;w=0&amp;k=20&amp;c=Afe1mWHu2PtIe8m_44vlt0f6Wg6u2zqK_8ogGeveex8=" TargetMode="External"/><Relationship Id="rId1857" Type="http://schemas.openxmlformats.org/officeDocument/2006/relationships/hyperlink" Target="https://media.istockphoto.com/id/1429557222/photo/caravan-travel.jpg?s=612x612&amp;w=0&amp;k=20&amp;c=7ksG9pI_rypcJtFkMKh26LLJY98FNsxt8jEVIe0RStU=" TargetMode="External"/><Relationship Id="rId51" Type="http://schemas.openxmlformats.org/officeDocument/2006/relationships/hyperlink" Target="https://st5.depositphotos.com/36525122/71224/i/380/depositphotos_712248936-stock-photo-woman-driving-sending-voice-message.jpg" TargetMode="External"/><Relationship Id="rId1412" Type="http://schemas.openxmlformats.org/officeDocument/2006/relationships/hyperlink" Target="https://media.istockphoto.com/id/1219457616/photo/hwy-sy-west-dist-2-bridge-jam.jpg?s=1024x1024&amp;w=is&amp;k=20&amp;c=i-gmb0ZHC6UiaJPTlm_wXVYd3nBsHqKevm8Jyhbex-o=" TargetMode="External"/><Relationship Id="rId1717" Type="http://schemas.openxmlformats.org/officeDocument/2006/relationships/hyperlink" Target="https://media.gettyimages.com/id/1255452931/photo/automobiles-run-a-red-light-at-the-intersection-at-houston-avenue-and-memorial-drive-in.jpg?s=612x612&amp;w=gi&amp;k=20&amp;c=WzSC2ckV-TxEUcvrSy4UNqqLnci7pI81KeUjhKn3GCc=" TargetMode="External"/><Relationship Id="rId1924" Type="http://schemas.openxmlformats.org/officeDocument/2006/relationships/hyperlink" Target="https://live.staticflickr.com/65535/52119191050_87bb9652b4_z.jpg" TargetMode="External"/><Relationship Id="rId298" Type="http://schemas.openxmlformats.org/officeDocument/2006/relationships/hyperlink" Target="https://live.staticflickr.com/148/332498793_c691a5507e_b.jpg" TargetMode="External"/><Relationship Id="rId158" Type="http://schemas.openxmlformats.org/officeDocument/2006/relationships/hyperlink" Target="https://images.pexels.com/photos/6529871/pexels-photo-6529871.jpeg" TargetMode="External"/><Relationship Id="rId2186" Type="http://schemas.openxmlformats.org/officeDocument/2006/relationships/hyperlink" Target="https://st.depositphotos.com/1019221/1212/i/450/depositphotos_12121958-stock-photo-africa.jpg" TargetMode="External"/><Relationship Id="rId365" Type="http://schemas.openxmlformats.org/officeDocument/2006/relationships/hyperlink" Target="https://c8.alamy.com/comp/EATT1X/a-mother-crosses-a-busy-road-with-her-son-on-his-first-day-of-school-EATT1X.jpg" TargetMode="External"/><Relationship Id="rId572" Type="http://schemas.openxmlformats.org/officeDocument/2006/relationships/hyperlink" Target="https://media.istockphoto.com/id/1208387257/photo/pedestrian-checking-her-phone.jpg?s=612x612&amp;w=0&amp;k=20&amp;c=258Ds2jTEaGyAq1EUVxlbQeXt-q-gaZ2rUPiV1QMPTc=" TargetMode="External"/><Relationship Id="rId2046" Type="http://schemas.openxmlformats.org/officeDocument/2006/relationships/hyperlink" Target="https://media.istockphoto.com/id/1279002529/photo/long-haul-semi-truck-on-a-rural-western-usa-interstate-highway.jpg?s=612x612&amp;w=0&amp;k=20&amp;c=whigLZsLjC6BLRWcEMdgqRt-sZk70T39U0tEDg7NVss=" TargetMode="External"/><Relationship Id="rId2253" Type="http://schemas.openxmlformats.org/officeDocument/2006/relationships/hyperlink" Target="https://st3.depositphotos.com/2047341/13195/i/450/depositphotos_131953698-stock-photo-trucks-in-sudan-at-the.jpg" TargetMode="External"/><Relationship Id="rId225" Type="http://schemas.openxmlformats.org/officeDocument/2006/relationships/hyperlink" Target="https://st4.depositphotos.com/1192060/38820/i/380/depositphotos_388208736-stock-photo-woman-applying-lipstick-while-driving.jpg" TargetMode="External"/><Relationship Id="rId432" Type="http://schemas.openxmlformats.org/officeDocument/2006/relationships/hyperlink" Target="https://media.istockphoto.com/id/596792426/photo/shinjuku-shopping-district-tokyo-japan.jpg?s=612x612&amp;w=0&amp;k=20&amp;c=mIlda86ptulybv1R3Dw8OUcShy0FDqqEQTRXAPM79Qc=" TargetMode="External"/><Relationship Id="rId877" Type="http://schemas.openxmlformats.org/officeDocument/2006/relationships/hyperlink" Target="https://st3.depositphotos.com/1000471/15143/i/450/depositphotos_151433476-stock-photo-car-traffic-on-a-highway.jpg" TargetMode="External"/><Relationship Id="rId1062" Type="http://schemas.openxmlformats.org/officeDocument/2006/relationships/hyperlink" Target="https://media.istockphoto.com/id/969500140/photo/car-accident.jpg?s=612x612&amp;w=0&amp;k=20&amp;c=5cWFdm3PKaNVLwPQfrGcqvDqgl5SLc8AA38BP_XVPAI=" TargetMode="External"/><Relationship Id="rId2113" Type="http://schemas.openxmlformats.org/officeDocument/2006/relationships/hyperlink" Target="https://st4.depositphotos.com/7149852/30947/i/450/depositphotos_309477912-stock-photo-modern-car-with-luggage-box.jpg" TargetMode="External"/><Relationship Id="rId2320" Type="http://schemas.openxmlformats.org/officeDocument/2006/relationships/hyperlink" Target="https://media.istockphoto.com/id/817784056/photo/tractor-full-with-hay-on-the-road.jpg?s=612x612&amp;w=0&amp;k=20&amp;c=zffcNmDCbx1tah_M6_DLjHkpbayGe5FEuOdfRa_7Y5w=" TargetMode="External"/><Relationship Id="rId737" Type="http://schemas.openxmlformats.org/officeDocument/2006/relationships/hyperlink" Target="https://st3.depositphotos.com/16748900/32882/i/380/depositphotos_328820768-stock-photo-two-pedestrians-cross-road-jaywalk.jpg" TargetMode="External"/><Relationship Id="rId944" Type="http://schemas.openxmlformats.org/officeDocument/2006/relationships/hyperlink" Target="https://media.istockphoto.com/id/943054428/photo/coastline-road.jpg?s=612x612&amp;w=0&amp;k=20&amp;c=8ogyDtbyKdnHjV9u5bG4v5sedxFl1Rq3PrhtCTX6eMw=" TargetMode="External"/><Relationship Id="rId1367" Type="http://schemas.openxmlformats.org/officeDocument/2006/relationships/hyperlink" Target="https://media.istockphoto.com/id/510399253/photo/busy-highway.jpg?s=612x612&amp;w=0&amp;k=20&amp;c=ex27rahrcjx2ZDB5qJgSKgTPqEzx6IBTeRhg75aGrz4=" TargetMode="External"/><Relationship Id="rId1574" Type="http://schemas.openxmlformats.org/officeDocument/2006/relationships/hyperlink" Target="https://media.istockphoto.com/id/866354212/photo/city-life.jpg?s=612x612&amp;w=0&amp;k=20&amp;c=-re3IHeoAuoojvLuvDkCYQTZoK_Nr3NjcY0eCt3Dy5Q=" TargetMode="External"/><Relationship Id="rId1781" Type="http://schemas.openxmlformats.org/officeDocument/2006/relationships/hyperlink" Target="https://images.carexpert.com.au/resize/960/-/app/uploads/2023/08/blocked-intersection-2.png" TargetMode="External"/><Relationship Id="rId73" Type="http://schemas.openxmlformats.org/officeDocument/2006/relationships/hyperlink" Target="https://cdn.hswstatic.com/gif/driving-dogs-lap.jpg" TargetMode="External"/><Relationship Id="rId804" Type="http://schemas.openxmlformats.org/officeDocument/2006/relationships/hyperlink" Target="https://encrypted-tbn0.gstatic.com/images?q=tbn:ANd9GcQX-8X2GiyFIH3ouayGKWcUncDZogBtCN9sEpj3gjRsfCnwHMNeGNqJT5uLMAQM1uv53MQ&amp;usqp=CAU" TargetMode="External"/><Relationship Id="rId1227" Type="http://schemas.openxmlformats.org/officeDocument/2006/relationships/hyperlink" Target="https://media.istockphoto.com/id/1404731007/photo/one-pit-pothole-with-dirty-water-on-the-gray-asphalt-road.jpg?s=612x612&amp;w=0&amp;k=20&amp;c=IyhzvmwROve_EjVYwqQtNFUrGeM-PDZsvCPXl6HL5M4=" TargetMode="External"/><Relationship Id="rId1434" Type="http://schemas.openxmlformats.org/officeDocument/2006/relationships/hyperlink" Target="https://live.staticflickr.com/65535/50195648326_7c5cf49544.jpg" TargetMode="External"/><Relationship Id="rId1641" Type="http://schemas.openxmlformats.org/officeDocument/2006/relationships/hyperlink" Target="https://encrypted-tbn0.gstatic.com/images?q=tbn:ANd9GcQ1FWtGivGZo1cG6g6FWzJCOHl85yd0idlUSw&amp;s" TargetMode="External"/><Relationship Id="rId1879" Type="http://schemas.openxmlformats.org/officeDocument/2006/relationships/hyperlink" Target="https://media.istockphoto.com/id/1423325870/photo/tow-truck-transportation.jpg?s=612x612&amp;w=0&amp;k=20&amp;c=EeLFErlEi3n7k9Yfn_Gcuja6cJwf41ISci3q8f6HVuw=" TargetMode="External"/><Relationship Id="rId1501" Type="http://schemas.openxmlformats.org/officeDocument/2006/relationships/hyperlink" Target="https://images.unsplash.com/photo-1573584681653-f78b856e9521?w=500&amp;auto=format&amp;fit=crop&amp;q=60&amp;ixlib=rb-4.1.0&amp;ixid=M3wxMjA3fDB8MHxwaG90by1yZWxhdGVkfDEzfHx8ZW58MHx8fHx8" TargetMode="External"/><Relationship Id="rId1739" Type="http://schemas.openxmlformats.org/officeDocument/2006/relationships/hyperlink" Target="https://thatsmyspot.com.au/wp-content/uploads/2022/11/Illegal-parking-along-sidewalk-image.jpeg" TargetMode="External"/><Relationship Id="rId1946" Type="http://schemas.openxmlformats.org/officeDocument/2006/relationships/hyperlink" Target="https://media.istockphoto.com/id/2007939149/photo/small-work-van.jpg?s=612x612&amp;w=0&amp;k=20&amp;c=MeyzTHYOa4puQ2X3RbvQz-6XX8ATsMGAtlgOROLn-Lo=" TargetMode="External"/><Relationship Id="rId1806" Type="http://schemas.openxmlformats.org/officeDocument/2006/relationships/hyperlink" Target="https://bicyclensw.org.au/wp-content/uploads/2020/01/Door-Zone_600x400.png" TargetMode="External"/><Relationship Id="rId387" Type="http://schemas.openxmlformats.org/officeDocument/2006/relationships/hyperlink" Target="https://media.istockphoto.com/id/1132356459/photo/senior-woman-crossing.jpg?s=612x612&amp;w=0&amp;k=20&amp;c=lI2anvVJtubV2aB0bzk9HeZSPpC_4G4iQNbY5L7RknM=" TargetMode="External"/><Relationship Id="rId594" Type="http://schemas.openxmlformats.org/officeDocument/2006/relationships/hyperlink" Target="https://media.istockphoto.com/id/1287538671/photo/crossing-the-street-at-a-pedestrian-crossing-and-looking-his-cellphone.jpg?s=612x612&amp;w=0&amp;k=20&amp;c=3LArQpBVUOczDvDP1Hz7cFnCE0MkeuC2FYxaKTuLYzY=" TargetMode="External"/><Relationship Id="rId2068" Type="http://schemas.openxmlformats.org/officeDocument/2006/relationships/hyperlink" Target="https://media.istockphoto.com/id/869278240/photo/truck-carrying-hay-in-his-body-making-hay-for-the-winter.jpg?s=612x612&amp;w=0&amp;k=20&amp;c=ia_AYinfTWXpvRHb6wht7Ozj5N69MZEWHqTVVShVbno=" TargetMode="External"/><Relationship Id="rId2275" Type="http://schemas.openxmlformats.org/officeDocument/2006/relationships/hyperlink" Target="https://media.istockphoto.com/id/1131258299/photo/car-image.jpg?s=612x612&amp;w=0&amp;k=20&amp;c=v49ErTNHKHQELS236B2Gw62-IYopts45atCjtp4Yo04=" TargetMode="External"/><Relationship Id="rId247" Type="http://schemas.openxmlformats.org/officeDocument/2006/relationships/hyperlink" Target="https://st.depositphotos.com/1000647/4674/i/380/depositphotos_46742309-stock-photo-driving-a-car.jpg" TargetMode="External"/><Relationship Id="rId899" Type="http://schemas.openxmlformats.org/officeDocument/2006/relationships/hyperlink" Target="https://media.istockphoto.com/id/626590212/photo/straight-line-australian-highway-in-rural-outback.jpg?s=612x612&amp;w=0&amp;k=20&amp;c=jZQ21WENfqvsjyzzDaO4ajf98w8eVkQWCSgsa7fb_Ns=" TargetMode="External"/><Relationship Id="rId1084" Type="http://schemas.openxmlformats.org/officeDocument/2006/relationships/hyperlink" Target="https://st.depositphotos.com/1449225/2506/i/380/depositphotos_25067809-stock-photo-cars-crashed.jpg" TargetMode="External"/><Relationship Id="rId107" Type="http://schemas.openxmlformats.org/officeDocument/2006/relationships/hyperlink" Target="https://www.johnsongarcialaw.com/wp-content/uploads/2020/12/Johnson-Garcia-blog-post-image_Common-signs-of-distracted-driving-scaled-1.jpg.webp" TargetMode="External"/><Relationship Id="rId454" Type="http://schemas.openxmlformats.org/officeDocument/2006/relationships/hyperlink" Target="https://images.unsplash.com/photo-1624816804260-65ea43f9615e?w=500&amp;auto=format&amp;fit=crop&amp;q=60&amp;ixlib=rb-4.1.0&amp;ixid=M3wxMjA3fDB8MHxzZWFyY2h8N3x8cGVkZXN0cmlhbiUyMHdhbGtpbmd8ZW58MHx8MHx8fDA%3D" TargetMode="External"/><Relationship Id="rId661" Type="http://schemas.openxmlformats.org/officeDocument/2006/relationships/hyperlink" Target="https://media.istockphoto.com/id/1368287848/photo/young-woman-walking-in-the-middle-of-crowded-street-and-looking-time-at-hand-watches-big-city.jpg?s=612x612&amp;w=0&amp;k=20&amp;c=7jve-VOvQHu8R0pWtBUuB3Q4UTvfw3-JMP8EXXX8YO4=" TargetMode="External"/><Relationship Id="rId759" Type="http://schemas.openxmlformats.org/officeDocument/2006/relationships/hyperlink" Target="https://jbsolicitors.com.au/wp-content/uploads/2023/02/jaywalking-featured.jpg" TargetMode="External"/><Relationship Id="rId966" Type="http://schemas.openxmlformats.org/officeDocument/2006/relationships/hyperlink" Target="https://static8.depositphotos.com/1421348/902/i/380/depositphotos_9022938-stock-photo-city-highway.jpg" TargetMode="External"/><Relationship Id="rId1291" Type="http://schemas.openxmlformats.org/officeDocument/2006/relationships/hyperlink" Target="https://st.depositphotos.com/1730665/1247/i/380/depositphotos_12478046-stock-photo-australia-victoria-great-ocean-road.jpg" TargetMode="External"/><Relationship Id="rId1389" Type="http://schemas.openxmlformats.org/officeDocument/2006/relationships/hyperlink" Target="https://images.unsplash.com/photo-1534773294507-d8090ebbcec6?w=400&amp;auto=format&amp;fit=crop&amp;q=60&amp;ixlib=rb-4.1.0&amp;ixid=M3wxMjA3fDB8MHxzZWFyY2h8Mnx8Y2FyJTIwaW4lMjBjaXR5JTIwYXVzdHJhbGlhfGVufDB8fDB8fHww" TargetMode="External"/><Relationship Id="rId1596" Type="http://schemas.openxmlformats.org/officeDocument/2006/relationships/hyperlink" Target="https://2passdd.com/Arizona-Defensive-Driving-School/wp-content/uploads/2020/08/car-in-crosswalk.jpg" TargetMode="External"/><Relationship Id="rId2135" Type="http://schemas.openxmlformats.org/officeDocument/2006/relationships/hyperlink" Target="https://media.istockphoto.com/id/1347294000/photo/a-truck-filled-to-the-brim-transports-round-bales-of-hay.jpg?s=612x612&amp;w=0&amp;k=20&amp;c=PWrQJRRDk1pZ4KWHPFYQt_XNBTJ13FYAy4RhWCZ7rxU=" TargetMode="External"/><Relationship Id="rId2342" Type="http://schemas.openxmlformats.org/officeDocument/2006/relationships/hyperlink" Target="https://worksafetci.com/wp-content/uploads/shutterstock_2177448265.jpg" TargetMode="External"/><Relationship Id="rId314" Type="http://schemas.openxmlformats.org/officeDocument/2006/relationships/hyperlink" Target="https://media.istockphoto.com/id/1288149637/photo/young-happy-intercultural-friends-having-drinks-and-talking-while-crossing-road.jpg?s=612x612&amp;w=0&amp;k=20&amp;c=4eYg7B05aIBl2nF6hPlUJEniQuOMQZKj4ZWt93FZoIo=" TargetMode="External"/><Relationship Id="rId521" Type="http://schemas.openxmlformats.org/officeDocument/2006/relationships/hyperlink" Target="https://media.istockphoto.com/id/1265455009/photo/woman-man-and-child-cross-road-at-crosswalk.jpg?s=612x612&amp;w=0&amp;k=20&amp;c=TxCT_JD_IUu1JPsFpEH1pe23mxwJLPwF7OQZLQm_WNs=" TargetMode="External"/><Relationship Id="rId619" Type="http://schemas.openxmlformats.org/officeDocument/2006/relationships/hyperlink" Target="https://lede-admin.usa.streetsblog.org/wp-content/uploads/sites/46/2021/05/Pedestrian-Arterial.jpg" TargetMode="External"/><Relationship Id="rId1151" Type="http://schemas.openxmlformats.org/officeDocument/2006/relationships/hyperlink" Target="https://media.istockphoto.com/id/929942316/photo/old-highway-with-holes-and-snow-landscape-road-potholes-in-cloudy-winter-weather-concept.jpg?s=612x612&amp;w=0&amp;k=20&amp;c=ZtK8wJgXLQYEWGMJVGeyZBqVPKsdHMQlml1Vx8i17aw=" TargetMode="External"/><Relationship Id="rId1249" Type="http://schemas.openxmlformats.org/officeDocument/2006/relationships/hyperlink" Target="https://static3.depositphotos.com/1004489/180/i/380/depositphotos_1803795-stock-photo-car-accident-on-a-highway.jpg" TargetMode="External"/><Relationship Id="rId2202" Type="http://schemas.openxmlformats.org/officeDocument/2006/relationships/hyperlink" Target="https://st.depositphotos.com/1035123/3056/i/450/depositphotos_30568385-stock-photo-truck-overloaded-with-rice-sacks.jpg" TargetMode="External"/><Relationship Id="rId95" Type="http://schemas.openxmlformats.org/officeDocument/2006/relationships/hyperlink" Target="https://lh5.googleusercontent.com/y9o_BIcSyYxMONRHr8zx58hUr4Hjlj3in_9pHGaKDTSERFpVk-Y61wpqsD6O5KSdK_Xix4aQ076yOvTpnRtjyDAnXdrJ--QNzoVS21A_nBDXOggRcJkoIC0OQpbdgdewbg" TargetMode="External"/><Relationship Id="rId826" Type="http://schemas.openxmlformats.org/officeDocument/2006/relationships/hyperlink" Target="https://media.istockphoto.com/id/1216211417/photo/asphalt-road-background-3d-rendering.jpg?s=612x612&amp;w=0&amp;k=20&amp;c=DU9HkDoyMkh9AijS1HSbyC1Gj0bAKxKdc3n4ingABOY=" TargetMode="External"/><Relationship Id="rId1011" Type="http://schemas.openxmlformats.org/officeDocument/2006/relationships/hyperlink" Target="https://static8.depositphotos.com/1421348/902/i/450/depositphotos_9023272-stock-photo-road-in-the-city.jpg" TargetMode="External"/><Relationship Id="rId1109" Type="http://schemas.openxmlformats.org/officeDocument/2006/relationships/hyperlink" Target="https://media.istockphoto.com/id/1776797587/photo/a-car-sits-in-the-street-after-water-was-flooding-it.jpg?s=612x612&amp;w=0&amp;k=20&amp;c=iZ4E-JtDawtQ7srEghYwtFrZ9PmTf71K7-LzljgPLmw=" TargetMode="External"/><Relationship Id="rId1456" Type="http://schemas.openxmlformats.org/officeDocument/2006/relationships/hyperlink" Target="https://media.istockphoto.com/id/513106144/photo/traffic-on-highway-with-cars.jpg?s=612x612&amp;w=0&amp;k=20&amp;c=dXm6BH6TnIHFu202PlQJNdM12lZQBt11Tkbqx85rHdQ=" TargetMode="External"/><Relationship Id="rId1663" Type="http://schemas.openxmlformats.org/officeDocument/2006/relationships/hyperlink" Target="https://media.istockphoto.com/id/453376679/photo/dangerous-city-traffic-situation.jpg?s=1024x1024&amp;w=is&amp;k=20&amp;c=3R57_ecaTQXDXoUO0q432OxZHaHmde8j4ld1rsLzGzc=" TargetMode="External"/><Relationship Id="rId1870" Type="http://schemas.openxmlformats.org/officeDocument/2006/relationships/hyperlink" Target="https://images.unsplash.com/photo-1591768793355-74d04bb6608f?w=400&amp;auto=format&amp;fit=crop&amp;q=60&amp;ixlib=rb-4.1.0&amp;ixid=M3wxMjA3fDB8MHxzZWFyY2h8MTB8fHRydWNrfGVufDB8fDB8fHww" TargetMode="External"/><Relationship Id="rId1968" Type="http://schemas.openxmlformats.org/officeDocument/2006/relationships/hyperlink" Target="https://media.istockphoto.com/id/1157121188/photo/white-repair-and-service-van-with-ladder-and-orange-light-bar-on-roof-at-city-street.jpg?s=612x612&amp;w=0&amp;k=20&amp;c=9tUocpHtWJSZ1OFpF_yrh1oVkhHqh_U93M1pzLPF_pI=" TargetMode="External"/><Relationship Id="rId1316" Type="http://schemas.openxmlformats.org/officeDocument/2006/relationships/hyperlink" Target="https://media.istockphoto.com/id/1148691627/photo/macropus-giganteus-eastern-grey-kangaroo-in-tasmania-in-australia-maria-island-tasmania.jpg?s=612x612&amp;w=0&amp;k=20&amp;c=qIgIqpr4ULtE1ByOI9UWNW3AbLJKuA21fmOwXQCwHeM=" TargetMode="External"/><Relationship Id="rId1523" Type="http://schemas.openxmlformats.org/officeDocument/2006/relationships/hyperlink" Target="https://upload.wikimedia.org/wikipedia/commons/4/4c/4waystop.jpg" TargetMode="External"/><Relationship Id="rId1730" Type="http://schemas.openxmlformats.org/officeDocument/2006/relationships/hyperlink" Target="https://www.austockphoto.com.au/imgcache/uploads/photos/compressed/cars-driving-through-traffic-lights-on-busy-urban-street-in-daytime-austockphoto-000044098.jpg" TargetMode="External"/><Relationship Id="rId22" Type="http://schemas.openxmlformats.org/officeDocument/2006/relationships/hyperlink" Target="https://upload.wikimedia.org/wikipedia/commons/thumb/4/42/Drinking_and_driving.jpg/960px-Drinking_and_driving.jpg" TargetMode="External"/><Relationship Id="rId1828" Type="http://schemas.openxmlformats.org/officeDocument/2006/relationships/hyperlink" Target="https://encrypted-tbn0.gstatic.com/images?q=tbn:ANd9GcSR6-m078yd3P3x3WhP8eer3jUXlhmtIStk4nxEwy7omlXGF89KiST04t3GdgmvnxV6iUE&amp;usqp=CAU" TargetMode="External"/><Relationship Id="rId171" Type="http://schemas.openxmlformats.org/officeDocument/2006/relationships/hyperlink" Target="https://st2.depositphotos.com/1236925/8010/i/380/depositphotos_80101804-stock-photo-young-man-driving-his-car.jpg" TargetMode="External"/><Relationship Id="rId2297" Type="http://schemas.openxmlformats.org/officeDocument/2006/relationships/hyperlink" Target="https://images.unsplash.com/photo-1653508310311-127794be33b6?w=400&amp;auto=format&amp;fit=crop&amp;q=60&amp;ixlib=rb-4.1.0&amp;ixid=M3wxMjA3fDB8MHxzZWFyY2h8MTJ8fHRyYWlsZXIlMjBsb2FkJTIwb2YlMjB0cmFzaHxlbnwwfHwwfHx8MA%3D%3D" TargetMode="External"/><Relationship Id="rId269" Type="http://schemas.openxmlformats.org/officeDocument/2006/relationships/hyperlink" Target="https://st5.depositphotos.com/4218696/67112/i/380/depositphotos_671121532-stock-photo-distracted-driving-concept-shocked-scared.jpg" TargetMode="External"/><Relationship Id="rId476" Type="http://schemas.openxmlformats.org/officeDocument/2006/relationships/hyperlink" Target="https://images.unsplash.com/photo-1642071241624-4886abb7a3e1?w=500&amp;auto=format&amp;fit=crop&amp;q=60&amp;ixlib=rb-4.1.0&amp;ixid=M3wxMjA3fDB8MHxzZWFyY2h8MTA4fHxwZWRlc3RyaWFuJTIwd2Fsa2luZyUyMGdyZWVuJTIwbGlnaHR8ZW58MHx8MHx8fDA%3D" TargetMode="External"/><Relationship Id="rId683" Type="http://schemas.openxmlformats.org/officeDocument/2006/relationships/hyperlink" Target="https://media.istockphoto.com/id/1212510558/photo/woman-in-green-dress-crossing-street-using-mobile-phone.jpg?s=612x612&amp;w=0&amp;k=20&amp;c=OgaBpsU17t0JuXeFfjJxlF7fEDOQz470_-HKro8siZc=" TargetMode="External"/><Relationship Id="rId890" Type="http://schemas.openxmlformats.org/officeDocument/2006/relationships/hyperlink" Target="https://media.istockphoto.com/id/499099945/photo/highway-401-during-the-day.jpg?s=612x612&amp;w=0&amp;k=20&amp;c=2oSv44SMWGfPu6jeL8n_jIw85dYAa00GgPowQ2R3UYI=" TargetMode="External"/><Relationship Id="rId2157" Type="http://schemas.openxmlformats.org/officeDocument/2006/relationships/hyperlink" Target="https://blog.trucksuvidha.com/wp-content/uploads/2015/02/Picture15.jpg" TargetMode="External"/><Relationship Id="rId129" Type="http://schemas.openxmlformats.org/officeDocument/2006/relationships/hyperlink" Target="https://encrypted-tbn0.gstatic.com/images?q=tbn:ANd9GcSbHxmvukcBzqFL3TrMnmgyM0Wo56WFjrDWJg&amp;s" TargetMode="External"/><Relationship Id="rId336" Type="http://schemas.openxmlformats.org/officeDocument/2006/relationships/hyperlink" Target="https://media.istockphoto.com/id/1413416031/photo/teenage-schoolchildren-a-boy-and-a-girl-cross-the-road-at-a-pedestrian-crossing.jpg?s=612x612&amp;w=0&amp;k=20&amp;c=ebA0Ov20ZXTXYc5BbYuW9RGwJaDnmWEdnNF2lQbFlWc=" TargetMode="External"/><Relationship Id="rId543" Type="http://schemas.openxmlformats.org/officeDocument/2006/relationships/hyperlink" Target="https://images.unsplash.com/photo-1530261316168-757e4c267137?w=500&amp;auto=format&amp;fit=crop&amp;q=60&amp;ixlib=rb-4.1.0&amp;ixid=M3wxMjA3fDB8MHxwaG90by1yZWxhdGVkfDE1fHx8ZW58MHx8fHx8" TargetMode="External"/><Relationship Id="rId988" Type="http://schemas.openxmlformats.org/officeDocument/2006/relationships/hyperlink" Target="https://st.depositphotos.com/1066342/2004/i/450/depositphotos_20048743-stock-photo-melbourne-by-the-fast-track.jpg" TargetMode="External"/><Relationship Id="rId1173" Type="http://schemas.openxmlformats.org/officeDocument/2006/relationships/hyperlink" Target="https://media.istockphoto.com/id/182678225/photo/tree-fallen-from-wind-storm.jpg?s=612x612&amp;w=0&amp;k=20&amp;c=u7DGkbKVue0MnMqNrJM47OQeHmicXM7T_sf1PXNb0gE=" TargetMode="External"/><Relationship Id="rId1380" Type="http://schemas.openxmlformats.org/officeDocument/2006/relationships/hyperlink" Target="https://media.istockphoto.com/id/1045979216/photo/cars-moving-on-the-road-in-city-in-late-evening.jpg?s=612x612&amp;w=0&amp;k=20&amp;c=hFfW7WzeeR3X7FTmwkZ0u4_bBzRK1iJcZwisOgdJB3M=" TargetMode="External"/><Relationship Id="rId2017" Type="http://schemas.openxmlformats.org/officeDocument/2006/relationships/hyperlink" Target="https://plus.unsplash.com/premium_photo-1661964199430-3e49c575b0b0?w=400&amp;auto=format&amp;fit=crop&amp;q=60&amp;ixlib=rb-4.1.0&amp;ixid=M3wxMjA3fDB8MHxwaG90by1yZWxhdGVkfDQ0fHx8ZW58MHx8fHx8" TargetMode="External"/><Relationship Id="rId2224" Type="http://schemas.openxmlformats.org/officeDocument/2006/relationships/hyperlink" Target="https://st4.depositphotos.com/7149852/31014/i/450/depositphotos_310146914-stock-photo-modern-car-with-luggage-box.jpg" TargetMode="External"/><Relationship Id="rId403" Type="http://schemas.openxmlformats.org/officeDocument/2006/relationships/hyperlink" Target="https://media.istockphoto.com/id/1143981682/photo/children-next-to-a-car-walking-through-pedestrian-crossing-to-the-school.jpg?s=612x612&amp;w=0&amp;k=20&amp;c=lDXFrGAhXDy_WJPOa4sQXcGm8snIOxSGvbnXM2NCEl8=" TargetMode="External"/><Relationship Id="rId750" Type="http://schemas.openxmlformats.org/officeDocument/2006/relationships/hyperlink" Target="https://encrypted-tbn0.gstatic.com/images?q=tbn:ANd9GcT9w1XHvVMUjqRe5CdatLuU4tvf4m4-uFFCAQ&amp;s" TargetMode="External"/><Relationship Id="rId848" Type="http://schemas.openxmlformats.org/officeDocument/2006/relationships/hyperlink" Target="https://st3.depositphotos.com/30030580/34805/i/450/depositphotos_348055962-stock-photo-the-m1-motorway-is-at.jpg" TargetMode="External"/><Relationship Id="rId1033" Type="http://schemas.openxmlformats.org/officeDocument/2006/relationships/hyperlink" Target="https://media.istockphoto.com/id/1147785858/photo/road.jpg?s=612x612&amp;w=0&amp;k=20&amp;c=gFx0MjOKF5vTbIO43QnfcjrSH5rkl9ZUpk8nvjRPGFk=" TargetMode="External"/><Relationship Id="rId1478" Type="http://schemas.openxmlformats.org/officeDocument/2006/relationships/hyperlink" Target="https://images.unsplash.com/photo-1689049844247-667754e34cda?w=500&amp;auto=format&amp;fit=crop&amp;q=60&amp;ixlib=rb-4.1.0&amp;ixid=M3wxMjA3fDB8MHxzZWFyY2h8MTV8fGNhciUyMGF0JTIwcmVkJTIwbGlnaHR8ZW58MHx8MHx8fDA%3D" TargetMode="External"/><Relationship Id="rId1685" Type="http://schemas.openxmlformats.org/officeDocument/2006/relationships/hyperlink" Target="https://media.istockphoto.com/id/458969983/photo/dangerous-overtaking.jpg?s=612x612&amp;w=0&amp;k=20&amp;c=1Mzsl3pX9ybmCRyY41FxpbLhFbBWc-2eqv4p-1aJ--0=" TargetMode="External"/><Relationship Id="rId1892" Type="http://schemas.openxmlformats.org/officeDocument/2006/relationships/hyperlink" Target="https://streetsmarts.initiatives.qld.gov.au/wp-content/uploads/2022/03/tmr_2019_TMR_Library_415.jpg" TargetMode="External"/><Relationship Id="rId610" Type="http://schemas.openxmlformats.org/officeDocument/2006/relationships/hyperlink" Target="https://h7.alamy.com/comp/2S2270W/people-cross-the-road-on-a-red-traffic-light-pedestrian-violation-of-traffic-rules-urban-street-cape-town-south-africa-31-oct-2023-2S2270W.jpg" TargetMode="External"/><Relationship Id="rId708" Type="http://schemas.openxmlformats.org/officeDocument/2006/relationships/hyperlink" Target="https://media.istockphoto.com/id/1181901428/photo/motivated-for-fitness.webp?b=1&amp;s=612x612&amp;w=0&amp;k=20&amp;c=QMrEKAdmVOs3ncJIkRnqQrg92br3Xq2uFutgToGkR80=" TargetMode="External"/><Relationship Id="rId915" Type="http://schemas.openxmlformats.org/officeDocument/2006/relationships/hyperlink" Target="https://media.istockphoto.com/id/905823954/photo/australian-road-trip-motion-blur-highway-landscape-at-dusk-with-mountain-ararat.jpg?s=612x612&amp;w=0&amp;k=20&amp;c=tnGB24J1Z6xeBitRwEJZezlQYUzSTPfAc7nWixKKAjQ=" TargetMode="External"/><Relationship Id="rId1240" Type="http://schemas.openxmlformats.org/officeDocument/2006/relationships/hyperlink" Target="https://st4.depositphotos.com/2267983/31334/i/380/depositphotos_313344178-stock-photo-damaged-cars-on-the-road.jpg" TargetMode="External"/><Relationship Id="rId1338" Type="http://schemas.openxmlformats.org/officeDocument/2006/relationships/hyperlink" Target="https://media.istockphoto.com/id/154919588/photo/road-and-flood.jpg?s=612x612&amp;w=0&amp;k=20&amp;c=q0Kiik8wDntv_P2sLL9Ic-r6yqF8um6ivzwZ-xW6rNc=" TargetMode="External"/><Relationship Id="rId1545" Type="http://schemas.openxmlformats.org/officeDocument/2006/relationships/hyperlink" Target="https://encrypted-tbn0.gstatic.com/images?q=tbn:ANd9GcT4WDq9AMHTE1Kgr6Gaih23w82YNwAomnxQKf7G9IadO_yhCKBpgChlsGcOaio6USeGX-k&amp;usqp=CAU" TargetMode="External"/><Relationship Id="rId1100" Type="http://schemas.openxmlformats.org/officeDocument/2006/relationships/hyperlink" Target="https://st.depositphotos.com/18723914/57465/i/380/depositphotos_574652022-stock-photo-kangaroo-road-kangaroo-island-australia.jpg" TargetMode="External"/><Relationship Id="rId1405" Type="http://schemas.openxmlformats.org/officeDocument/2006/relationships/hyperlink" Target="https://c8.alamy.com/comp/W7P782/file-car-drivers-wait-to-give-way-to-pedestrians-on-a-crosswalk-in-beijing-china-9-july-2013-beijing-traffic-police-thursday-15-june-2017-be-W7P782.jpg" TargetMode="External"/><Relationship Id="rId1752" Type="http://schemas.openxmlformats.org/officeDocument/2006/relationships/hyperlink" Target="https://encrypted-tbn0.gstatic.com/images?q=tbn:ANd9GcTjQPsH0MV0sjDARVsVSyZY9neors9H7iCfU6Cp3KfSPdIbvCaYcSY6nenIYNJPAyHlCUU&amp;usqp=CAU" TargetMode="External"/><Relationship Id="rId44" Type="http://schemas.openxmlformats.org/officeDocument/2006/relationships/hyperlink" Target="https://st5.depositphotos.com/38340270/78389/i/380/depositphotos_783890122-stock-photo-pretty-woman-her-30s-applying.jpg" TargetMode="External"/><Relationship Id="rId1612" Type="http://schemas.openxmlformats.org/officeDocument/2006/relationships/hyperlink" Target="https://media.licdn.com/dms/image/v2/C5612AQEK8ndBs5M_lg/article-cover_image-shrink_720_1280/article-cover_image-shrink_720_1280/0/1547761671901?e=2147483647&amp;v=beta&amp;t=HlaQdZ9xFp-uD_Rx7UvWMaGKMmjwzHf7jUPEeXU5UR8" TargetMode="External"/><Relationship Id="rId1917" Type="http://schemas.openxmlformats.org/officeDocument/2006/relationships/hyperlink" Target="https://live.staticflickr.com/65535/50328552863_082a2f95a2_z.jpg" TargetMode="External"/><Relationship Id="rId193" Type="http://schemas.openxmlformats.org/officeDocument/2006/relationships/hyperlink" Target="https://st2.depositphotos.com/1010613/7611/i/380/depositphotos_76114713-stock-photo-businessman-eating-snack.jpg" TargetMode="External"/><Relationship Id="rId498" Type="http://schemas.openxmlformats.org/officeDocument/2006/relationships/hyperlink" Target="https://media.istockphoto.com/id/653967962/photo/schoolboy-crossing-a-road-on-his-morning-way-to-school.jpg?s=612x612&amp;w=0&amp;k=20&amp;c=5OQ6Z1-YFLEARfGtnw_TH1R7kV9Xn9TihAStFEX3Bms=" TargetMode="External"/><Relationship Id="rId2081" Type="http://schemas.openxmlformats.org/officeDocument/2006/relationships/hyperlink" Target="https://media.istockphoto.com/id/1087268414/photo/bale-truck-carrying-straw.jpg?s=612x612&amp;w=0&amp;k=20&amp;c=C-bcXCZeEJiCG5DeTMAAwu8H1GjD--FUnxwpKOSPxvg=" TargetMode="External"/><Relationship Id="rId2179" Type="http://schemas.openxmlformats.org/officeDocument/2006/relationships/hyperlink" Target="https://terrysamui.wordpress.com/wp-content/uploads/2017/01/overloaded-driving-cars-motorcycles-vans-trucks-pick-ups-samui-thailand-funny-strange-unusual-18.jpg" TargetMode="External"/><Relationship Id="rId260" Type="http://schemas.openxmlformats.org/officeDocument/2006/relationships/hyperlink" Target="https://st5.depositphotos.com/36525122/71224/i/380/depositphotos_712248936-stock-photo-woman-driving-sending-voice-message.jpg" TargetMode="External"/><Relationship Id="rId120" Type="http://schemas.openxmlformats.org/officeDocument/2006/relationships/hyperlink" Target="https://encrypted-tbn0.gstatic.com/images?q=tbn:ANd9GcSBBAqHIsPq0uGWEjuW0SgHflSVqP24-lk3UY9ySmpTT-cfcHxt75kG_Ez7HYqzDMLv-1o&amp;usqp=CAU" TargetMode="External"/><Relationship Id="rId358" Type="http://schemas.openxmlformats.org/officeDocument/2006/relationships/hyperlink" Target="https://c8.alamy.com/comp/B55NHF/cars-failing-to-stop-at-a-pedestrian-crossing-B55NHF.jpg" TargetMode="External"/><Relationship Id="rId565" Type="http://schemas.openxmlformats.org/officeDocument/2006/relationships/hyperlink" Target="https://media.istockphoto.com/id/1368287848/photo/young-woman-walking-in-the-middle-of-crowded-street-and-looking-time-at-hand-watches-big-city.jpg?s=612x612&amp;w=0&amp;k=20&amp;c=7jve-VOvQHu8R0pWtBUuB3Q4UTvfw3-JMP8EXXX8YO4=" TargetMode="External"/><Relationship Id="rId772" Type="http://schemas.openxmlformats.org/officeDocument/2006/relationships/hyperlink" Target="https://encrypted-tbn0.gstatic.com/images?q=tbn:ANd9GcQYHOAtC8Mr4h7s_hlM4iFKmcTHq1ui6W9woj2wgWWKzPWqiX_PKVMfHYmVT2I8fr2wE8s&amp;usqp=CAU" TargetMode="External"/><Relationship Id="rId1195" Type="http://schemas.openxmlformats.org/officeDocument/2006/relationships/hyperlink" Target="https://media.istockphoto.com/id/934265026/photo/road-is-paved-with-cracks-in-pits-and-puddles-from-snow-landscape-of-winter-road-in-cloudy.jpg?s=612x612&amp;w=0&amp;k=20&amp;c=QPu9-Q9e4lHW3BXYkONZ_lsT2oa-V1ALxlwJSn877Zg=" TargetMode="External"/><Relationship Id="rId2039" Type="http://schemas.openxmlformats.org/officeDocument/2006/relationships/hyperlink" Target="https://media.istockphoto.com/id/1282047643/photo/classic-big-rig-semi-truck-tractor-transporting-lumber-on-the-flat-bed-semi-trailer-moving-on.jpg?s=612x612&amp;w=0&amp;k=20&amp;c=vS4MX8uHpO3MGoGQRjW2dXjV0WIfcEIwo1uECc0hF54=" TargetMode="External"/><Relationship Id="rId2246" Type="http://schemas.openxmlformats.org/officeDocument/2006/relationships/hyperlink" Target="https://st.depositphotos.com/8272416/59368/i/450/depositphotos_593680588-stock-photo-accra-ghana-april-2022-crowded.jpg" TargetMode="External"/><Relationship Id="rId218" Type="http://schemas.openxmlformats.org/officeDocument/2006/relationships/hyperlink" Target="https://st4.depositphotos.com/5675252/22612/i/380/depositphotos_226125066-stock-photo-man-eating-pizza-coffee-while.jpg" TargetMode="External"/><Relationship Id="rId425" Type="http://schemas.openxmlformats.org/officeDocument/2006/relationships/hyperlink" Target="https://media.istockphoto.com/id/1373732934/photo/hipster-teenage-urban-lifestyle-music-students-go-to-class-or-to-a-concert-concept-of.jpg?s=612x612&amp;w=0&amp;k=20&amp;c=nDZVdpbMObNQZLXfZ3D61DYaRgnqmlYKjDeei9B_iHI=" TargetMode="External"/><Relationship Id="rId632" Type="http://schemas.openxmlformats.org/officeDocument/2006/relationships/hyperlink" Target="https://h7.alamy.com/comp/R7AAEA/jerusalem-israel-18052018-a-religious-jew-crosses-the-road-on-a-tramway-track-violation-of-traffic-rules-accident-R7AAEA.jpg" TargetMode="External"/><Relationship Id="rId1055" Type="http://schemas.openxmlformats.org/officeDocument/2006/relationships/hyperlink" Target="https://townsquare.media/site/677/files/2022/01/attachment-RS34883_GettyImages-498050908-scr.jpg?w=1200&amp;h=0&amp;zc=1&amp;s=0&amp;a=t&amp;q=89&amp;format=natural" TargetMode="External"/><Relationship Id="rId1262" Type="http://schemas.openxmlformats.org/officeDocument/2006/relationships/hyperlink" Target="https://media.istockphoto.com/id/173845298/photo/crash.jpg?s=612x612&amp;w=0&amp;k=20&amp;c=uLdLReLUkAFEOkCy7p8n5nq0OOjAwqdP8g3vpltp8EQ=" TargetMode="External"/><Relationship Id="rId2106" Type="http://schemas.openxmlformats.org/officeDocument/2006/relationships/hyperlink" Target="https://st.depositphotos.com/8272416/59368/i/450/depositphotos_593680588-stock-photo-accra-ghana-april-2022-crowded.jpg" TargetMode="External"/><Relationship Id="rId2313" Type="http://schemas.openxmlformats.org/officeDocument/2006/relationships/hyperlink" Target="https://media.istockphoto.com/id/461952017/photo/hay-truck.jpg?s=612x612&amp;w=0&amp;k=20&amp;c=kF39O5A7Ds7Tnz2eBzTim4DLHgC5E1Qb9OCOvKPu3RA=" TargetMode="External"/><Relationship Id="rId937" Type="http://schemas.openxmlformats.org/officeDocument/2006/relationships/hyperlink" Target="https://media.istockphoto.com/id/1057809092/photo/russian-roads-in-karelia-travel-by-road-asphalt-road-smooth-road.jpg?s=612x612&amp;w=0&amp;k=20&amp;c=fBouhuAtPjuQ9Uzzr9epMXNGCgt-MsLoZGRRCMdMcCY=" TargetMode="External"/><Relationship Id="rId1122" Type="http://schemas.openxmlformats.org/officeDocument/2006/relationships/hyperlink" Target="https://www.insuranceneighbor.com/wp-content/uploads/sites/2939/2019/12/Road-Hazard-Pothole.jpg" TargetMode="External"/><Relationship Id="rId1567" Type="http://schemas.openxmlformats.org/officeDocument/2006/relationships/hyperlink" Target="https://media.istockphoto.com/id/617778720/photo/main-road-in-melbourne.jpg?s=612x612&amp;w=0&amp;k=20&amp;c=zDkc-Bg4VOUIxhUHukD7thrDu6oYQPpMeuBx_A08V1s=" TargetMode="External"/><Relationship Id="rId1774" Type="http://schemas.openxmlformats.org/officeDocument/2006/relationships/hyperlink" Target="https://images.carexpert.com.au/resize/960/-/app/uploads/2023/08/blocked-intersection-3.jpg" TargetMode="External"/><Relationship Id="rId1981" Type="http://schemas.openxmlformats.org/officeDocument/2006/relationships/hyperlink" Target="https://media.istockphoto.com/id/1388560519/photo/large-roof-box.jpg?s=612x612&amp;w=0&amp;k=20&amp;c=Tr8UzIOdr0GkCemz-maS0eIlRcztTSmHXTMZyoJxAA0=" TargetMode="External"/><Relationship Id="rId66" Type="http://schemas.openxmlformats.org/officeDocument/2006/relationships/hyperlink" Target="https://media.gettyimages.com/id/1657434172/photo/distracted-female-driver-looking-at-passengers-phone.jpg?s=612x612&amp;w=gi&amp;k=20&amp;c=M2-qy8qa4RRCABGMmBCNWgS62bR56W9MQG7THhzqtX0=" TargetMode="External"/><Relationship Id="rId1427" Type="http://schemas.openxmlformats.org/officeDocument/2006/relationships/hyperlink" Target="https://images.perthnow.com.au/publication/C-18942408/b56f243642a9d85ad058b9eddf6d9b79dd0437bb-16x9-x0y283w2776h1562.jpg?imwidth=668&amp;impolicy=pn_v3" TargetMode="External"/><Relationship Id="rId1634" Type="http://schemas.openxmlformats.org/officeDocument/2006/relationships/hyperlink" Target="https://encrypted-tbn0.gstatic.com/images?q=tbn:ANd9GcSNWL4_Iyu-_7liBKlSnd4xZ2XxAKysOIuU4nppAS6I9opNAssS8aVU76BEd6x9JRBeomU&amp;usqp=CAU" TargetMode="External"/><Relationship Id="rId1841" Type="http://schemas.openxmlformats.org/officeDocument/2006/relationships/hyperlink" Target="https://encrypted-tbn0.gstatic.com/images?q=tbn:ANd9GcQ1FWtGivGZo1cG6g6FWzJCOHl85yd0idlUSw&amp;s" TargetMode="External"/><Relationship Id="rId1939" Type="http://schemas.openxmlformats.org/officeDocument/2006/relationships/hyperlink" Target="https://media.istockphoto.com/id/1057570312/photo/mountain-bicycle-fixed-with-roof-mounted-bike-carriers-instaled-on-white-auto-roof-travel.jpg?s=612x612&amp;w=0&amp;k=20&amp;c=Qp8Uy7bhjnY8uL6qaS4U3MDVRkqMwKW43rnrlRzJyuQ=" TargetMode="External"/><Relationship Id="rId1701" Type="http://schemas.openxmlformats.org/officeDocument/2006/relationships/hyperlink" Target="https://tse2.mm.bing.net/th/id/OIP.hepp42cIKG2BKRSmveec_gHaE8?r=0&amp;pid=Api" TargetMode="External"/><Relationship Id="rId282" Type="http://schemas.openxmlformats.org/officeDocument/2006/relationships/hyperlink" Target="https://images.pexels.com/photos/16352748/pexels-photo-16352748.jpeg" TargetMode="External"/><Relationship Id="rId587" Type="http://schemas.openxmlformats.org/officeDocument/2006/relationships/hyperlink" Target="https://encrypted-tbn0.gstatic.com/images?q=tbn:ANd9GcT9w1XHvVMUjqRe5CdatLuU4tvf4m4-uFFCAQ&amp;s" TargetMode="External"/><Relationship Id="rId2170" Type="http://schemas.openxmlformats.org/officeDocument/2006/relationships/hyperlink" Target="https://media.istockphoto.com/id/177540596/photo/truck-travelling-on-roadway-heavily-overloaded-by-wood.jpg?s=612x612&amp;w=0&amp;k=20&amp;c=iy4LhQzbb7155A5Yl5ppMEFgAvj93G0ccIZqzPLAol0=" TargetMode="External"/><Relationship Id="rId2268" Type="http://schemas.openxmlformats.org/officeDocument/2006/relationships/hyperlink" Target="https://st3.depositphotos.com/1550655/15907/i/450/depositphotos_159076868-stock-photo-over-load-on-toyota-commuter.jpg" TargetMode="External"/><Relationship Id="rId8" Type="http://schemas.openxmlformats.org/officeDocument/2006/relationships/hyperlink" Target="https://www.sleepscore.com/wp-content/uploads/2016/10/blog-SleepyDriving-preview.jpg" TargetMode="External"/><Relationship Id="rId142" Type="http://schemas.openxmlformats.org/officeDocument/2006/relationships/hyperlink" Target="https://st2.depositphotos.com/1662991/7158/i/380/depositphotos_71584357-stock-photo-couple-texting-and-driving.jpg" TargetMode="External"/><Relationship Id="rId447" Type="http://schemas.openxmlformats.org/officeDocument/2006/relationships/hyperlink" Target="https://st2.depositphotos.com/1609055/7563/i/380/depositphotos_75638043-stock-photo-young-woman-crossing-road.jpg" TargetMode="External"/><Relationship Id="rId794" Type="http://schemas.openxmlformats.org/officeDocument/2006/relationships/hyperlink" Target="https://images.pexels.com/photos/20030515/pexels-photo-20030515.jpeg" TargetMode="External"/><Relationship Id="rId1077" Type="http://schemas.openxmlformats.org/officeDocument/2006/relationships/hyperlink" Target="https://media.istockphoto.com/id/1848810166/photo/water-in-pothole.jpg?s=612x612&amp;w=0&amp;k=20&amp;c=jRRnzBxgBAM-mIM5-2hDbCv9Ka_vkWgS4t0oZrD-2lM=" TargetMode="External"/><Relationship Id="rId2030" Type="http://schemas.openxmlformats.org/officeDocument/2006/relationships/hyperlink" Target="https://images.unsplash.com/photo-1707905862671-5227ea6099ef?w=400&amp;auto=format&amp;fit=crop&amp;q=60&amp;ixlib=rb-4.1.0&amp;ixid=M3wxMjA3fDB8MHxzZWFyY2h8NHx8dHJ1Y2slMjBjYXJyeWluZ3xlbnwwfHwwfHx8MA%3D%3D" TargetMode="External"/><Relationship Id="rId2128" Type="http://schemas.openxmlformats.org/officeDocument/2006/relationships/hyperlink" Target="https://media.istockphoto.com/id/1141023496/photo/trailer-load-of-trash.jpg?s=612x612&amp;w=0&amp;k=20&amp;c=8WtXL79RLz_3LU9h-ru337_rLfNO1nZjdccK4Yk_CaQ=" TargetMode="External"/><Relationship Id="rId654" Type="http://schemas.openxmlformats.org/officeDocument/2006/relationships/hyperlink" Target="https://media.istockphoto.com/id/1152269806/photo/low-angle-of-car-in-front-of-pedestrian-crossing-and-walking-boy-with-smartphone.jpg?s=612x612&amp;w=0&amp;k=20&amp;c=9SZeOADKBUdugkDrnp4ADca7oLmr4iujvhwH7oeW5SM=" TargetMode="External"/><Relationship Id="rId861" Type="http://schemas.openxmlformats.org/officeDocument/2006/relationships/hyperlink" Target="https://c8.alamy.com/comp/2AW2BCR/singapore-january-2020-a-road-sign-indicating-access-to-the-construction-site-2AW2BCR.jpg" TargetMode="External"/><Relationship Id="rId959" Type="http://schemas.openxmlformats.org/officeDocument/2006/relationships/hyperlink" Target="https://media.istockphoto.com/id/1082720986/photo/expressway-and-modern-urban-architecture-in-qiantang-river-new-town-hangzhou-china.jpg?s=612x612&amp;w=0&amp;k=20&amp;c=NgXXcxKTldhCwkS0P7ocDtkZs1Yd2pp5GNbBu1JJmdo=" TargetMode="External"/><Relationship Id="rId1284" Type="http://schemas.openxmlformats.org/officeDocument/2006/relationships/hyperlink" Target="https://st5.depositphotos.com/26285604/67760/i/380/depositphotos_677606274-stock-photo-porcupine-crossing-road-khao-yai.jpg" TargetMode="External"/><Relationship Id="rId1491" Type="http://schemas.openxmlformats.org/officeDocument/2006/relationships/hyperlink" Target="https://images.unsplash.com/photo-1707179174362-2c951c1ea8d0?w=500&amp;auto=format&amp;fit=crop&amp;q=60&amp;ixlib=rb-4.1.0&amp;ixid=M3wxMjA3fDB8MHxzZWFyY2h8MjZ8fGNhciUyMGF0JTIwcmVkJTIwbGlnaHR8ZW58MHx8MHx8fDA%3D" TargetMode="External"/><Relationship Id="rId1589" Type="http://schemas.openxmlformats.org/officeDocument/2006/relationships/hyperlink" Target="https://media.istockphoto.com/id/477707350/photo/king-street-newtown.jpg?s=612x612&amp;w=0&amp;k=20&amp;c=C8ZyJCmlcmf7h6adgIiBrZWAuNUjOzPjqAO6yfagezc=" TargetMode="External"/><Relationship Id="rId2335" Type="http://schemas.openxmlformats.org/officeDocument/2006/relationships/hyperlink" Target="https://www.shutterstock.com/image-photo/serakhs-turkmenistan-may-18-2007-260nw-1807857361.jpg" TargetMode="External"/><Relationship Id="rId307" Type="http://schemas.openxmlformats.org/officeDocument/2006/relationships/hyperlink" Target="https://media.istockphoto.com/id/163654089/photo/car-stopped-for-pedestrian.jpg?s=612x612&amp;w=0&amp;k=20&amp;c=KR2rAvp9aU4KYFs8G6d4g3hvW-HyMy70Eyk6i66zb1w=" TargetMode="External"/><Relationship Id="rId514" Type="http://schemas.openxmlformats.org/officeDocument/2006/relationships/hyperlink" Target="https://media.istockphoto.com/id/1264312873/photo/mother-and-child-on-crosswalk-street.jpg?s=612x612&amp;w=0&amp;k=20&amp;c=6uJ16_En3JW6hV5B9mOyQLgoKw9IZ6HR82MIL4R2iRI=" TargetMode="External"/><Relationship Id="rId721" Type="http://schemas.openxmlformats.org/officeDocument/2006/relationships/hyperlink" Target="https://media.istockphoto.com/id/1194518540/photo/children-jaywalking.jpg?s=612x612&amp;w=0&amp;k=20&amp;c=S5ELtbN0eplB3RuLP8x0r-WkmKJhvVZoi51gSFOvhw4=" TargetMode="External"/><Relationship Id="rId1144" Type="http://schemas.openxmlformats.org/officeDocument/2006/relationships/hyperlink" Target="https://www.canberratimes.com.au/images/transform/v1/crop/frm/175630965/4690ef79-28e6-4d79-a8d2-263f1c852249.png/r0_135_1018_669_w1200_h630_fmax.jpg" TargetMode="External"/><Relationship Id="rId1351" Type="http://schemas.openxmlformats.org/officeDocument/2006/relationships/hyperlink" Target="https://media.istockphoto.com/id/1663006730/photo/driving-at-dusk-stop-sign-red-traffic-lights-rear-view-of-car-waiting.jpg?s=1024x1024&amp;w=is&amp;k=20&amp;c=WCd5j9XkHG9CnVqq97obOA3My--tTGfo5wpYHjZAysU=" TargetMode="External"/><Relationship Id="rId1449" Type="http://schemas.openxmlformats.org/officeDocument/2006/relationships/hyperlink" Target="https://media.istockphoto.com/id/1030960660/photo/mother-turns-around-to-her-children-on-the-back-seat-of-car.jpg?s=612x612&amp;w=0&amp;k=20&amp;c=HSZB_HqQw2z6dnvlQmN_UA91pbwrepZufpYwOHM7Y1o=" TargetMode="External"/><Relationship Id="rId1796" Type="http://schemas.openxmlformats.org/officeDocument/2006/relationships/hyperlink" Target="https://encrypted-tbn0.gstatic.com/images?q=tbn:ANd9GcRmN6wQnfCTR9GVSXZn2lO1R4tC6evb76WNBQ&amp;s" TargetMode="External"/><Relationship Id="rId88" Type="http://schemas.openxmlformats.org/officeDocument/2006/relationships/hyperlink" Target="https://www.sleepscore.com/wp-content/uploads/2016/10/blog-SleepyDriving-preview.jpg" TargetMode="External"/><Relationship Id="rId819" Type="http://schemas.openxmlformats.org/officeDocument/2006/relationships/hyperlink" Target="https://st4.depositphotos.com/28951978/31584/i/450/depositphotos_315843620-stock-photo-road-highway-signs.jpg" TargetMode="External"/><Relationship Id="rId1004" Type="http://schemas.openxmlformats.org/officeDocument/2006/relationships/hyperlink" Target="https://st5.depositphotos.com/6194606/81701/i/450/depositphotos_817010644-stock-photo-perth-australia-april-2025-mitchell.jpg" TargetMode="External"/><Relationship Id="rId1211" Type="http://schemas.openxmlformats.org/officeDocument/2006/relationships/hyperlink" Target="https://media.istockphoto.com/id/618419138/photo/large-pit-on-the-old-road-in-the-winter.jpg?s=612x612&amp;w=0&amp;k=20&amp;c=-WE7kM5CHaMRQVFJYUYyq3Y3Nct20sGN43wWY3lBMmA=" TargetMode="External"/><Relationship Id="rId1656" Type="http://schemas.openxmlformats.org/officeDocument/2006/relationships/hyperlink" Target="https://i.ytimg.com/vi/QOahnV7DJ2s/hq720.jpg?sqp=-oaymwEhCK4FEIIDSFryq4qpAxMIARUAAAAAGAElAADIQj0AgKJD&amp;rs=AOn4CLB05s_1_eFosTJ8_7MO7lj7l95VDg" TargetMode="External"/><Relationship Id="rId1863" Type="http://schemas.openxmlformats.org/officeDocument/2006/relationships/hyperlink" Target="https://media.istockphoto.com/id/467838539/photo/car-with-kayak-canoe-on-top-blue-sky-active-lifestyle.jpg?s=612x612&amp;w=0&amp;k=20&amp;c=KtkCc8AZIL3_rmKzib3tIBGYaM3s5R_N5BQWPrcAcRA=" TargetMode="External"/><Relationship Id="rId1309" Type="http://schemas.openxmlformats.org/officeDocument/2006/relationships/hyperlink" Target="https://st.depositphotos.com/18723914/57465/i/380/depositphotos_574652022-stock-photo-kangaroo-road-kangaroo-island-australia.jpg" TargetMode="External"/><Relationship Id="rId1516" Type="http://schemas.openxmlformats.org/officeDocument/2006/relationships/hyperlink" Target="https://media.istockphoto.com/id/483375405/photo/car-at-red-light.jpg?s=612x612&amp;w=0&amp;k=20&amp;c=I2exUhQ61vG1-UEzPNxwxF3kimkRrM2phiy2DBUEUqs=" TargetMode="External"/><Relationship Id="rId1723" Type="http://schemas.openxmlformats.org/officeDocument/2006/relationships/hyperlink" Target="https://media.licdn.com/dms/image/v2/C5612AQEK8ndBs5M_lg/article-cover_image-shrink_720_1280/article-cover_image-shrink_720_1280/0/1547761671901?e=2147483647&amp;v=beta&amp;t=HlaQdZ9xFp-uD_Rx7UvWMaGKMmjwzHf7jUPEeXU5UR8" TargetMode="External"/><Relationship Id="rId1930" Type="http://schemas.openxmlformats.org/officeDocument/2006/relationships/hyperlink" Target="https://media.istockphoto.com/id/1252790465/photo/truck-with-refrigerated-semi-trailer.jpg?s=612x612&amp;w=0&amp;k=20&amp;c=waeG6Akro2uPxdGve8ghlrTqBlca0r6UVxrNMtcAB3M=" TargetMode="External"/><Relationship Id="rId15" Type="http://schemas.openxmlformats.org/officeDocument/2006/relationships/hyperlink" Target="https://encrypted-tbn0.gstatic.com/images?q=tbn:ANd9GcQHT8CiwIYQlBMMMwkmE2Gk0G77PMfEoeJcAaZVgyFGtq33nRDSqYR5_6aYe4kZyUAVqNQ&amp;usqp=CAU" TargetMode="External"/><Relationship Id="rId2192" Type="http://schemas.openxmlformats.org/officeDocument/2006/relationships/hyperlink" Target="https://st5.depositphotos.com/72897924/61726/i/450/depositphotos_617269340-stock-photo-african-people-street-senegal.jpg" TargetMode="External"/><Relationship Id="rId164" Type="http://schemas.openxmlformats.org/officeDocument/2006/relationships/hyperlink" Target="https://media.istockphoto.com/id/1639627914/photo/young-man-eating-a-sandwich-while-driving-a-car.webp?s=2048x2048&amp;w=is&amp;k=20&amp;c=0u3vyUzJSCNKGh9f5iMiJeBOViFjHL3NTQLsja5gVLc=" TargetMode="External"/><Relationship Id="rId371" Type="http://schemas.openxmlformats.org/officeDocument/2006/relationships/hyperlink" Target="https://live.staticflickr.com/148/332498793_c691a5507e_b.jpg" TargetMode="External"/><Relationship Id="rId2052" Type="http://schemas.openxmlformats.org/officeDocument/2006/relationships/hyperlink" Target="https://media.istockphoto.com/id/2210808753/photo/a-truck-loaded-with-logs-drives-under-a-cloudy-blue-sky-logistic-and-transportation-of-timber.jpg?s=612x612&amp;w=0&amp;k=20&amp;c=m6zRFPyafOsIpUgFc31YpE2s4-H2SsHfv9UbZh_uX5Y=" TargetMode="External"/><Relationship Id="rId469" Type="http://schemas.openxmlformats.org/officeDocument/2006/relationships/hyperlink" Target="https://images.unsplash.com/photo-1610210734809-1beaf51099c5?w=500&amp;auto=format&amp;fit=crop&amp;q=60&amp;ixlib=rb-4.1.0&amp;ixid=M3wxMjA3fDB8MHxzZWFyY2h8NzF8fHBlZGVzdHJpYW4lMjB3YWxraW5nJTIwZ3JlZW4lMjBsaWdodHxlbnwwfHwwfHx8MA%3D%3D" TargetMode="External"/><Relationship Id="rId676" Type="http://schemas.openxmlformats.org/officeDocument/2006/relationships/hyperlink" Target="https://media.istockphoto.com/id/2156838758/photo/woman-strolls-with-phone-and-ice-cream.jpg?s=612x612&amp;w=0&amp;k=20&amp;c=2wloP8A1JOFCsm2VAQRmqhfzWmblhpDTw8D5uGFtTcI=" TargetMode="External"/><Relationship Id="rId883" Type="http://schemas.openxmlformats.org/officeDocument/2006/relationships/hyperlink" Target="https://media.istockphoto.com/id/184106933/photo/white-truck-leaving-montreal.jpg?s=612x612&amp;w=0&amp;k=20&amp;c=lgqE9qgwZF6yOKLFqtYqre2rivHfwZFE_bzM7TQ3zL8=" TargetMode="External"/><Relationship Id="rId1099" Type="http://schemas.openxmlformats.org/officeDocument/2006/relationships/hyperlink" Target="https://st.depositphotos.com/18723914/57465/i/380/depositphotos_574652032-stock-photo-kangaroo-road-kangaroo-island-australia.jpg" TargetMode="External"/><Relationship Id="rId2357" Type="http://schemas.openxmlformats.org/officeDocument/2006/relationships/hyperlink" Target="https://www.racv.com.au/content/dam/racv-assets/images/images/motor/road-safety/1600x900/railway-level-crossing-1600x900.jpg" TargetMode="External"/><Relationship Id="rId231" Type="http://schemas.openxmlformats.org/officeDocument/2006/relationships/hyperlink" Target="https://st5.depositphotos.com/38340270/78389/i/380/depositphotos_783890122-stock-photo-pretty-woman-her-30s-applying.jpg" TargetMode="External"/><Relationship Id="rId329" Type="http://schemas.openxmlformats.org/officeDocument/2006/relationships/hyperlink" Target="https://media.istockphoto.com/id/653967962/photo/schoolboy-crossing-a-road-on-his-morning-way-to-school.jpg?s=612x612&amp;w=0&amp;k=20&amp;c=5OQ6Z1-YFLEARfGtnw_TH1R7kV9Xn9TihAStFEX3Bms=" TargetMode="External"/><Relationship Id="rId536" Type="http://schemas.openxmlformats.org/officeDocument/2006/relationships/hyperlink" Target="https://images.unsplash.com/photo-1698374081634-cae02713b1a6?w=500&amp;auto=format&amp;fit=crop&amp;q=60&amp;ixlib=rb-4.1.0&amp;ixid=M3wxMjA3fDB8MHxzZWFyY2h8MTIwfHxwZWRlc3RyaWFuJTIwd2Fsa2luZyUyMGdyZWVuJTIwbGlnaHR8ZW58MHx8MHx8fDA%3D" TargetMode="External"/><Relationship Id="rId1166" Type="http://schemas.openxmlformats.org/officeDocument/2006/relationships/hyperlink" Target="https://media.istockphoto.com/id/1040400108/photo/tree-across-power-lines-that-were-taken-out-by-hurricane-florence.jpg?s=612x612&amp;w=0&amp;k=20&amp;c=33-kanTCAEC4meB9ZYIQ9K6TlWz83B5Y6kKVjaKcSwk=" TargetMode="External"/><Relationship Id="rId1373" Type="http://schemas.openxmlformats.org/officeDocument/2006/relationships/hyperlink" Target="https://images.unsplash.com/photo-1613650427984-be2f16df8075?w=500&amp;auto=format&amp;fit=crop&amp;q=60&amp;ixlib=rb-4.1.0&amp;ixid=M3wxMjA3fDB8MHxwaG90by1yZWxhdGVkfDF8fHxlbnwwfHx8fHw%3D" TargetMode="External"/><Relationship Id="rId2217" Type="http://schemas.openxmlformats.org/officeDocument/2006/relationships/hyperlink" Target="https://st5.depositphotos.com/31126772/68630/i/450/depositphotos_686303772-stock-photo-rooftop-cargo-carrier-bag-rear.jpg" TargetMode="External"/><Relationship Id="rId743" Type="http://schemas.openxmlformats.org/officeDocument/2006/relationships/hyperlink" Target="https://st4.depositphotos.com/21607914/24190/i/380/depositphotos_241900166-stock-photo-chinese-pedestrians-jaywalk-road-red.jpg" TargetMode="External"/><Relationship Id="rId950" Type="http://schemas.openxmlformats.org/officeDocument/2006/relationships/hyperlink" Target="https://media.istockphoto.com/id/1226412091/photo/circular-quay-ferry-terminal-emptied.jpg?s=612x612&amp;w=0&amp;k=20&amp;c=megYWF8JZ1wUV0Yu9WuT1TA9CwBuKkYL8cmJV8A6heg=" TargetMode="External"/><Relationship Id="rId1026" Type="http://schemas.openxmlformats.org/officeDocument/2006/relationships/hyperlink" Target="https://st3.depositphotos.com/6570854/33326/i/450/depositphotos_333261878-stock-photo-the-princes-highway-is-a.jpg" TargetMode="External"/><Relationship Id="rId1580" Type="http://schemas.openxmlformats.org/officeDocument/2006/relationships/hyperlink" Target="https://media.istockphoto.com/id/470842736/photo/city-highway.jpg?s=612x612&amp;w=0&amp;k=20&amp;c=tZjtatMw_Zd8mg3v6YEu9Lmr-Doo9Y1lhiUBLZnUlGM=" TargetMode="External"/><Relationship Id="rId1678" Type="http://schemas.openxmlformats.org/officeDocument/2006/relationships/hyperlink" Target="https://i.dailymail.co.uk/i/pix/2017/02/01/17/3CBC089B00000578-4180528-image-a-31_1485968419972.jpg" TargetMode="External"/><Relationship Id="rId1885" Type="http://schemas.openxmlformats.org/officeDocument/2006/relationships/hyperlink" Target="https://cdn.pixabay.com/photo/2021/12/04/00/29/truck-6844140_640.jpg" TargetMode="External"/><Relationship Id="rId603" Type="http://schemas.openxmlformats.org/officeDocument/2006/relationships/hyperlink" Target="https://cassisilawfirm.com/wp-content/uploads/2023/06/Pedestrian_Accident.jpg" TargetMode="External"/><Relationship Id="rId810" Type="http://schemas.openxmlformats.org/officeDocument/2006/relationships/hyperlink" Target="https://encrypted-tbn0.gstatic.com/images?q=tbn:ANd9GcTyE00T0Eh_DC3friBH57sxVnatahu4GmU5_g&amp;s" TargetMode="External"/><Relationship Id="rId908" Type="http://schemas.openxmlformats.org/officeDocument/2006/relationships/hyperlink" Target="https://media.istockphoto.com/id/1248118439/photo/road-on-the-island-of-tasmania.jpg?s=612x612&amp;w=0&amp;k=20&amp;c=KwIdpCoW3bZYUlMIgxJbTDLnK-qjy2QNdk1djLN32Oc=" TargetMode="External"/><Relationship Id="rId1233" Type="http://schemas.openxmlformats.org/officeDocument/2006/relationships/hyperlink" Target="https://media.istockphoto.com/id/157418325/photo/broken-road.jpg?s=612x612&amp;w=0&amp;k=20&amp;c=Jx-L77IURiKBm2r80zULrlf4BEkPPNFaXx2pL2QGpvk=" TargetMode="External"/><Relationship Id="rId1440" Type="http://schemas.openxmlformats.org/officeDocument/2006/relationships/hyperlink" Target="https://media.istockphoto.com/id/877227118/photo/young-girl-is-fastening-her-seat-belt-in-a-rainy-day.jpg?s=612x612&amp;w=0&amp;k=20&amp;c=hjB3M6HRJpa_Hv9L9t5zHu1N4NChm1mdrXBWUJbEpi4=" TargetMode="External"/><Relationship Id="rId1538" Type="http://schemas.openxmlformats.org/officeDocument/2006/relationships/hyperlink" Target="https://img.philkotse.com/temp/2024/07/27/inter-3c7b-wm-b688.webp" TargetMode="External"/><Relationship Id="rId1300" Type="http://schemas.openxmlformats.org/officeDocument/2006/relationships/hyperlink" Target="https://st3.depositphotos.com/29384342/35115/i/380/depositphotos_351153820-stock-photo-picturesque-view-countryside-scenery.jpg" TargetMode="External"/><Relationship Id="rId1745" Type="http://schemas.openxmlformats.org/officeDocument/2006/relationships/hyperlink" Target="https://bicyclecoalition.org/wp-content/uploads/2018/09/1.jpg" TargetMode="External"/><Relationship Id="rId1952" Type="http://schemas.openxmlformats.org/officeDocument/2006/relationships/hyperlink" Target="https://media.istockphoto.com/id/1429557222/photo/caravan-travel.jpg?s=612x612&amp;w=0&amp;k=20&amp;c=7ksG9pI_rypcJtFkMKh26LLJY98FNsxt8jEVIe0RStU=" TargetMode="External"/><Relationship Id="rId37" Type="http://schemas.openxmlformats.org/officeDocument/2006/relationships/hyperlink" Target="https://st2.depositphotos.com/14799452/47325/i/380/depositphotos_473251102-stock-photo-happy-woman-eating-food-drinking.jpg" TargetMode="External"/><Relationship Id="rId1605" Type="http://schemas.openxmlformats.org/officeDocument/2006/relationships/hyperlink" Target="https://media.istockphoto.com/id/139085335/photo/police-cars-block-traffic.jpg?s=612x612&amp;w=0&amp;k=20&amp;c=OkdUjIcQHvlfvZcGlTkWNkfX4VQLK6W10-mkxsmuTgM=" TargetMode="External"/><Relationship Id="rId1812" Type="http://schemas.openxmlformats.org/officeDocument/2006/relationships/hyperlink" Target="https://encrypted-tbn0.gstatic.com/images?q=tbn:ANd9GcSNWL4_Iyu-_7liBKlSnd4xZ2XxAKysOIuU4nppAS6I9opNAssS8aVU76BEd6x9JRBeomU&amp;usqp=CAU" TargetMode="External"/><Relationship Id="rId186" Type="http://schemas.openxmlformats.org/officeDocument/2006/relationships/hyperlink" Target="https://st3.depositphotos.com/13146722/33934/i/380/depositphotos_339345688-stock-photo-adult-male-caucasian-person-eating.jpg" TargetMode="External"/><Relationship Id="rId393" Type="http://schemas.openxmlformats.org/officeDocument/2006/relationships/hyperlink" Target="https://media.istockphoto.com/id/1287919965/photo/mother-and-son-crossing-street.jpg?s=612x612&amp;w=0&amp;k=20&amp;c=E5DZ93TJOCs7XKu3sVsrY_Hnq_HI3sPmVzw0x3KtJq0=" TargetMode="External"/><Relationship Id="rId2074" Type="http://schemas.openxmlformats.org/officeDocument/2006/relationships/hyperlink" Target="https://media.istockphoto.com/id/474505090/photo/lorry-with-hay-bales.jpg?s=612x612&amp;w=0&amp;k=20&amp;c=g4DqkKG1ORHA5fmdcqdQjGfeEt6uiuGfDovhLCR4TGY=" TargetMode="External"/><Relationship Id="rId2281" Type="http://schemas.openxmlformats.org/officeDocument/2006/relationships/hyperlink" Target="https://images.unsplash.com/photo-1625565141751-8742de0ee1ff?w=400&amp;auto=format&amp;fit=crop&amp;q=60&amp;ixlib=rb-4.1.0&amp;ixid=M3wxMjA3fDB8MHxwaG90by1yZWxhdGVkfDE0fHx8ZW58MHx8fHx8" TargetMode="External"/><Relationship Id="rId253" Type="http://schemas.openxmlformats.org/officeDocument/2006/relationships/hyperlink" Target="https://st.depositphotos.com/2534189/2866/i/380/depositphotos_28666549-stock-photo-man-at-wheel-using-cell.jpg" TargetMode="External"/><Relationship Id="rId460" Type="http://schemas.openxmlformats.org/officeDocument/2006/relationships/hyperlink" Target="https://plus.unsplash.com/premium_photo-1661671983641-8ec2c3fcd8cb?w=500&amp;auto=format&amp;fit=crop&amp;q=60&amp;ixlib=rb-4.1.0&amp;ixid=M3wxMjA3fDB8MHxzZWFyY2h8NjF8fHBlZGVzdHJpYW4lMjB3YWxraW5nJTIwZ3JlZW4lMjBsaWdodHxlbnwwfHwwfHx8MA%3D%3D" TargetMode="External"/><Relationship Id="rId698" Type="http://schemas.openxmlformats.org/officeDocument/2006/relationships/hyperlink" Target="https://media.istockphoto.com/id/2156838758/photo/woman-strolls-with-phone-and-ice-cream.jpg?s=612x612&amp;w=0&amp;k=20&amp;c=2wloP8A1JOFCsm2VAQRmqhfzWmblhpDTw8D5uGFtTcI=" TargetMode="External"/><Relationship Id="rId1090" Type="http://schemas.openxmlformats.org/officeDocument/2006/relationships/hyperlink" Target="https://st2.depositphotos.com/3711911/12284/i/380/depositphotos_122844796-stock-photo-broken-traffic-light.jpg" TargetMode="External"/><Relationship Id="rId2141" Type="http://schemas.openxmlformats.org/officeDocument/2006/relationships/hyperlink" Target="https://encrypted-tbn0.gstatic.com/images?q=tbn:ANd9GcQqTx9COrIqbcEFQ9j6fnzqbv-uxiiqULGEzx2Lp5tBTLAfF0O6D5gEAdxl2ebobFCo3kU&amp;usqp=CAU" TargetMode="External"/><Relationship Id="rId113" Type="http://schemas.openxmlformats.org/officeDocument/2006/relationships/hyperlink" Target="https://www.iii.org/sites/default/files/p_woman_lipstick_drive_453162261.jpg" TargetMode="External"/><Relationship Id="rId320" Type="http://schemas.openxmlformats.org/officeDocument/2006/relationships/hyperlink" Target="https://plus.unsplash.com/premium_photo-1661671983641-8ec2c3fcd8cb?w=500&amp;auto=format&amp;fit=crop&amp;q=60&amp;ixlib=rb-4.1.0&amp;ixid=M3wxMjA3fDB8MHxzZWFyY2h8NjF8fHBlZGVzdHJpYW4lMjB3YWxraW5nJTIwZ3JlZW4lMjBsaWdodHxlbnwwfHwwfHx8MA%3D%3D" TargetMode="External"/><Relationship Id="rId558" Type="http://schemas.openxmlformats.org/officeDocument/2006/relationships/hyperlink" Target="https://h7.alamy.com/comp/R7AAEA/jerusalem-israel-18052018-a-religious-jew-crosses-the-road-on-a-tramway-track-violation-of-traffic-rules-accident-R7AAEA.jpg" TargetMode="External"/><Relationship Id="rId765" Type="http://schemas.openxmlformats.org/officeDocument/2006/relationships/hyperlink" Target="https://www.delawareonline.com/gcdn/presto/2018/08/06/PWIL/612222e6-c0f1-41ea-be23-6b0e7a355920-080618-Jaywalking-SP107.JPG" TargetMode="External"/><Relationship Id="rId972" Type="http://schemas.openxmlformats.org/officeDocument/2006/relationships/hyperlink" Target="https://st2.depositphotos.com/1035886/6468/i/450/depositphotos_64680483-stock-photo-perth-freeway-traffic.jpg" TargetMode="External"/><Relationship Id="rId1188" Type="http://schemas.openxmlformats.org/officeDocument/2006/relationships/hyperlink" Target="https://media.istockphoto.com/id/1151871082/photo/tree-that-fell-after-a-storm-in-the-urban-area-old-tree-trunk-fallen-in-the-city.jpg?s=612x612&amp;w=0&amp;k=20&amp;c=cR0pP-kTpPPJKCuR4qPD4PDNGyRqGVyP7uFd2jv0a60=" TargetMode="External"/><Relationship Id="rId1395" Type="http://schemas.openxmlformats.org/officeDocument/2006/relationships/hyperlink" Target="https://media.istockphoto.com/id/866354212/photo/city-life.jpg?s=612x612&amp;w=0&amp;k=20&amp;c=-re3IHeoAuoojvLuvDkCYQTZoK_Nr3NjcY0eCt3Dy5Q=" TargetMode="External"/><Relationship Id="rId2001" Type="http://schemas.openxmlformats.org/officeDocument/2006/relationships/hyperlink" Target="https://images.unsplash.com/photo-1501700493788-fa1a4fc9fe62?w=400&amp;auto=format&amp;fit=crop&amp;q=60&amp;ixlib=rb-4.1.0&amp;ixid=M3wxMjA3fDB8MHxzZWFyY2h8NHx8dHJ1Y2t8ZW58MHx8MHx8fDA%3D" TargetMode="External"/><Relationship Id="rId2239" Type="http://schemas.openxmlformats.org/officeDocument/2006/relationships/hyperlink" Target="https://st4.depositphotos.com/5764720/31101/i/450/depositphotos_311015906-stock-photo-funny-horse-transport-carriage-horses.jpg" TargetMode="External"/><Relationship Id="rId418" Type="http://schemas.openxmlformats.org/officeDocument/2006/relationships/hyperlink" Target="https://media.istockphoto.com/id/1415122300/photo/a-mother-and-her-son-crossing-road-on-way-to-school.jpg?s=612x612&amp;w=0&amp;k=20&amp;c=AWKWp2uR3tG0yv4LzR1qeN5btTQU7hiS-RMOhUa-pW4=" TargetMode="External"/><Relationship Id="rId625" Type="http://schemas.openxmlformats.org/officeDocument/2006/relationships/hyperlink" Target="https://live.staticflickr.com/7157/6494132543_3bbc295cfc_b.jpg" TargetMode="External"/><Relationship Id="rId832" Type="http://schemas.openxmlformats.org/officeDocument/2006/relationships/hyperlink" Target="https://media.istockphoto.com/id/943054428/photo/coastline-road.jpg?s=612x612&amp;w=0&amp;k=20&amp;c=8ogyDtbyKdnHjV9u5bG4v5sedxFl1Rq3PrhtCTX6eMw=" TargetMode="External"/><Relationship Id="rId1048" Type="http://schemas.openxmlformats.org/officeDocument/2006/relationships/hyperlink" Target="https://upload.wikimedia.org/wikipedia/commons/thumb/7/77/Deer_Park_Bypass_eastbound_at_Western_Ring_Road.jpg/250px-Deer_Park_Bypass_eastbound_at_Western_Ring_Road.jpg" TargetMode="External"/><Relationship Id="rId1255" Type="http://schemas.openxmlformats.org/officeDocument/2006/relationships/hyperlink" Target="https://media.istockphoto.com/id/157527693/photo/traffic-accident.jpg?s=612x612&amp;w=0&amp;k=20&amp;c=VkJmDeJjvcUzWkR75Axc786TzY1hNkmPaQqKP6PVW84=" TargetMode="External"/><Relationship Id="rId1462" Type="http://schemas.openxmlformats.org/officeDocument/2006/relationships/hyperlink" Target="https://media.istockphoto.com/id/510399253/photo/busy-highway.jpg?s=612x612&amp;w=0&amp;k=20&amp;c=ex27rahrcjx2ZDB5qJgSKgTPqEzx6IBTeRhg75aGrz4=" TargetMode="External"/><Relationship Id="rId2306" Type="http://schemas.openxmlformats.org/officeDocument/2006/relationships/hyperlink" Target="https://media.istockphoto.com/id/2156661569/photo/straw-transport-somewhere-in-the-central-part-of-morocco.jpg?s=612x612&amp;w=0&amp;k=20&amp;c=01yJ-5ZapNo3FquzD18eEh0H738o5Zv2nv51dYEMXGM=" TargetMode="External"/><Relationship Id="rId1115" Type="http://schemas.openxmlformats.org/officeDocument/2006/relationships/hyperlink" Target="https://cdn.prod.website-files.com/633a774cc6e89f417caf380c/6372e10439e184188c00cdfd_JtnzKxnQwo1b2VjRltx5Rgr5hvWGVT7JJFaSoZzuPRJ5ApmuXQYMppQSe358gj3q7Csm9KNTdxnKUagaXnS8Ca9DC_lmqcu17Hn7u-z9TU_STRHOqFF8L8e0j1gkc3lLm4KQbIsOhnoLTbryNUwsNfa8lhJuRX3ZvFSfCR-uEdM9_tICiWPUMU8w8lktjA.jpeg" TargetMode="External"/><Relationship Id="rId1322" Type="http://schemas.openxmlformats.org/officeDocument/2006/relationships/hyperlink" Target="https://media.istockphoto.com/id/92809152/photo/kangaroo-crossing-in-front-of-a-sign.jpg?s=612x612&amp;w=0&amp;k=20&amp;c=YVAYDEuESIp-Dbi7snyZHosiKr9wdIfYZk58inkDNU8=" TargetMode="External"/><Relationship Id="rId1767" Type="http://schemas.openxmlformats.org/officeDocument/2006/relationships/hyperlink" Target="https://thumbs.dreamstime.com/b/illegal-parking-pedestrian-crossing-violation-rules-rights-pedestrians-54732203.jpg" TargetMode="External"/><Relationship Id="rId1974" Type="http://schemas.openxmlformats.org/officeDocument/2006/relationships/hyperlink" Target="https://media.istockphoto.com/id/697702430/photo/car-with-two-canoes-on-top-roof-in-mountains.jpg?s=612x612&amp;w=0&amp;k=20&amp;c=ZnXjhpQMEC5b4jcAZJrv-rGkNp5aFLrJl-Ibn0cNtsc=" TargetMode="External"/><Relationship Id="rId59" Type="http://schemas.openxmlformats.org/officeDocument/2006/relationships/hyperlink" Target="https://static.vecteezy.com/system/resources/previews/045/478/110/large_2x/young-woman-using-mobile-phone-while-driving-car-on-highway-road-during-sunset-womandriver-has-accident-calling-with-smartphone-for-help-business-woman-busy-driving-concept-photo.jpg" TargetMode="External"/><Relationship Id="rId1627" Type="http://schemas.openxmlformats.org/officeDocument/2006/relationships/hyperlink" Target="https://encrypted-tbn0.gstatic.com/images?q=tbn:ANd9GcQblo3PT9wfa9c0pHNglOvp5CZ0-D-xq98YJWlhJ1XPebZgIv9KnT0rNQ2GoJTI6LUc16w&amp;usqp=CAU" TargetMode="External"/><Relationship Id="rId1834" Type="http://schemas.openxmlformats.org/officeDocument/2006/relationships/hyperlink" Target="https://encrypted-tbn0.gstatic.com/images?q=tbn:ANd9GcTu7Iu_TLmf4qHybpaVIhcsvQF5PsJ7aNM5O4YJiccNAvJgSVPZZya3ZxfGlIUlS87HPQE&amp;usqp=CAU" TargetMode="External"/><Relationship Id="rId2096" Type="http://schemas.openxmlformats.org/officeDocument/2006/relationships/hyperlink" Target="https://www.shutterstock.com/image-photo/plasencia-spain-may-01-2022-260nw-2244693823.jpg" TargetMode="External"/><Relationship Id="rId1901" Type="http://schemas.openxmlformats.org/officeDocument/2006/relationships/hyperlink" Target="https://img.rasset.ie/00116b54-500.jpg" TargetMode="External"/><Relationship Id="rId275" Type="http://schemas.openxmlformats.org/officeDocument/2006/relationships/hyperlink" Target="https://st4.depositphotos.com/4218696/27231/i/380/depositphotos_272314514-stock-photo-african-american-couple-using-navigator.jpg" TargetMode="External"/><Relationship Id="rId482" Type="http://schemas.openxmlformats.org/officeDocument/2006/relationships/hyperlink" Target="https://images.unsplash.com/photo-1623029861914-bd883be5969e?w=500&amp;auto=format&amp;fit=crop&amp;q=60&amp;ixlib=rb-4.1.0&amp;ixid=M3wxMjA3fDB8MHxzZWFyY2h8MTIyfHxwZWRlc3RyaWFuJTIwd2Fsa2luZyUyMGdyZWVuJTIwbGlnaHR8ZW58MHx8MHx8fDA%3D" TargetMode="External"/><Relationship Id="rId2163" Type="http://schemas.openxmlformats.org/officeDocument/2006/relationships/hyperlink" Target="https://www.team-bhp.com/forum/attachments/road-safety/2519250d1697766847-cargo-protruding-outside-trucks-height-width-traffic-hazard-killer-fb_img_1697766480549.jpg" TargetMode="External"/><Relationship Id="rId135" Type="http://schemas.openxmlformats.org/officeDocument/2006/relationships/hyperlink" Target="https://encrypted-tbn0.gstatic.com/images?q=tbn:ANd9GcSQi60NR5C_mhIOdPKqpLY6ZCF3S8bse7oQFAB72sXYGRrprtMRyq1ahILc-reoBbGvb-E&amp;usqp=CAU" TargetMode="External"/><Relationship Id="rId342" Type="http://schemas.openxmlformats.org/officeDocument/2006/relationships/hyperlink" Target="https://media.istockphoto.com/id/949120374/photo/young-women-in-budapest-crossing-the-street-at-the-pedestrian-walkway.jpg?s=612x612&amp;w=0&amp;k=20&amp;c=Eqv_zuhb2eaTgperi0vhOJzYCKDTHijdO3gbLvzR70Q=" TargetMode="External"/><Relationship Id="rId787" Type="http://schemas.openxmlformats.org/officeDocument/2006/relationships/hyperlink" Target="https://st4.depositphotos.com/21607914/23781/i/380/depositphotos_237818180-stock-photo-file-chinese-jaywalkers-walk-road.jpg" TargetMode="External"/><Relationship Id="rId994" Type="http://schemas.openxmlformats.org/officeDocument/2006/relationships/hyperlink" Target="https://st4.depositphotos.com/13485624/22136/i/450/depositphotos_221361216-stock-photo-melbourne-australia-january-2018-entrance.jpg" TargetMode="External"/><Relationship Id="rId2023" Type="http://schemas.openxmlformats.org/officeDocument/2006/relationships/hyperlink" Target="https://media.istockphoto.com/id/157286698/photo/tow-truck-hauling-a-new-red-car.jpg?s=612x612&amp;w=0&amp;k=20&amp;c=RY6v23MkyjhBjLw7HNhnvUWQqNqmGX4SbR5Y1P1ScE8=" TargetMode="External"/><Relationship Id="rId2230" Type="http://schemas.openxmlformats.org/officeDocument/2006/relationships/hyperlink" Target="https://st5.depositphotos.com/31126772/74815/i/450/depositphotos_748153816-stock-photo-thule-wingbar-evo-roof-bike.jpg" TargetMode="External"/><Relationship Id="rId202" Type="http://schemas.openxmlformats.org/officeDocument/2006/relationships/hyperlink" Target="https://st5.depositphotos.com/4395427/66280/i/380/depositphotos_662804030-stock-photo-asian-woman-bad-eating-habits.jpg" TargetMode="External"/><Relationship Id="rId647" Type="http://schemas.openxmlformats.org/officeDocument/2006/relationships/hyperlink" Target="https://media.istockphoto.com/id/1181241726/photo/young-man-walking-at-crosswalk-on-a-sao-paulos-street.jpg?s=612x612&amp;w=0&amp;k=20&amp;c=BbYxvaMZazg6gppfk1l9Rj5Q25f6hsaA3NbBcmPdGsM=" TargetMode="External"/><Relationship Id="rId854" Type="http://schemas.openxmlformats.org/officeDocument/2006/relationships/hyperlink" Target="https://media.istockphoto.com/id/1147785858/photo/road.jpg?s=612x612&amp;w=0&amp;k=20&amp;c=gFx0MjOKF5vTbIO43QnfcjrSH5rkl9ZUpk8nvjRPGFk=" TargetMode="External"/><Relationship Id="rId1277" Type="http://schemas.openxmlformats.org/officeDocument/2006/relationships/hyperlink" Target="https://st4.depositphotos.com/2716431/31034/i/380/depositphotos_310340822-stock-photo-reindeers-crossing-a-road-in.jpg" TargetMode="External"/><Relationship Id="rId1484" Type="http://schemas.openxmlformats.org/officeDocument/2006/relationships/hyperlink" Target="https://images.unsplash.com/photo-1613650427984-be2f16df8075?w=500&amp;auto=format&amp;fit=crop&amp;q=60&amp;ixlib=rb-4.1.0&amp;ixid=M3wxMjA3fDB8MHxwaG90by1yZWxhdGVkfDF8fHxlbnwwfHx8fHw%3D" TargetMode="External"/><Relationship Id="rId1691" Type="http://schemas.openxmlformats.org/officeDocument/2006/relationships/hyperlink" Target="https://media.istockphoto.com/id/1214893505/photo/people-without-helmet-violating-traffic-rules-boy-wearing-an-n-95-face-mask-sits-behind-his.jpg?s=612x612&amp;w=0&amp;k=20&amp;c=V9IEmbVA2J8XgTkKKLYM0fwh3Q9OoTGHKMeoH6Lg1oQ=" TargetMode="External"/><Relationship Id="rId2328" Type="http://schemas.openxmlformats.org/officeDocument/2006/relationships/hyperlink" Target="https://encrypted-tbn0.gstatic.com/images?q=tbn:ANd9GcRt8AZ6bg6Uws0AjZQdGVrJFoPHUW2c2mGsJw&amp;s" TargetMode="External"/><Relationship Id="rId507" Type="http://schemas.openxmlformats.org/officeDocument/2006/relationships/hyperlink" Target="https://media.istockphoto.com/id/1265396637/photo/woman-man-and-child-cross-road-at-crosswalk.jpg?s=612x612&amp;w=0&amp;k=20&amp;c=S6ED1VMafFotHBgiE_kU7eIyD57LoiLs8HmFWl5CQp4=" TargetMode="External"/><Relationship Id="rId714" Type="http://schemas.openxmlformats.org/officeDocument/2006/relationships/hyperlink" Target="https://media.istockphoto.com/id/1386843956/photo/pedestrians-on-the-street.jpg?s=612x612&amp;w=0&amp;k=20&amp;c=LPq5UdnOzElFy33YpwEKXjl5ZHe0o7qIEE4_9kT0j4U=" TargetMode="External"/><Relationship Id="rId921" Type="http://schemas.openxmlformats.org/officeDocument/2006/relationships/hyperlink" Target="https://media.istockphoto.com/id/1216211417/photo/asphalt-road-background-3d-rendering.jpg?s=612x612&amp;w=0&amp;k=20&amp;c=DU9HkDoyMkh9AijS1HSbyC1Gj0bAKxKdc3n4ingABOY=" TargetMode="External"/><Relationship Id="rId1137" Type="http://schemas.openxmlformats.org/officeDocument/2006/relationships/hyperlink" Target="https://media.istockphoto.com/id/460744007/photo/night-driving.jpg?s=612x612&amp;w=0&amp;k=20&amp;c=-gzQPmNt91FhMccpYK93LiJsdtfeLFeazj-xST2bYQU=" TargetMode="External"/><Relationship Id="rId1344" Type="http://schemas.openxmlformats.org/officeDocument/2006/relationships/hyperlink" Target="https://media.istockphoto.com/id/1776797587/photo/a-car-sits-in-the-street-after-water-was-flooding-it.jpg?s=612x612&amp;w=0&amp;k=20&amp;c=iZ4E-JtDawtQ7srEghYwtFrZ9PmTf71K7-LzljgPLmw=" TargetMode="External"/><Relationship Id="rId1551" Type="http://schemas.openxmlformats.org/officeDocument/2006/relationships/hyperlink" Target="https://images.unsplash.com/photo-1534773294507-d8090ebbcec6?w=400&amp;auto=format&amp;fit=crop&amp;q=60&amp;ixlib=rb-4.1.0&amp;ixid=M3wxMjA3fDB8MHxzZWFyY2h8Mnx8Y2FyJTIwaW4lMjBjaXR5JTIwYXVzdHJhbGlhfGVufDB8fDB8fHww" TargetMode="External"/><Relationship Id="rId1789" Type="http://schemas.openxmlformats.org/officeDocument/2006/relationships/hyperlink" Target="https://media.istockphoto.com/id/1323332711/photo/a-very-busy-sydney-road-in-brunswick-in-the-early-evening-light.jpg?s=612x612&amp;w=0&amp;k=20&amp;c=CIiTSAHjBbZcQkKeQ3lKgEy7rK6WqbgHcS1dMBow1a4=" TargetMode="External"/><Relationship Id="rId1996" Type="http://schemas.openxmlformats.org/officeDocument/2006/relationships/hyperlink" Target="https://media.istockphoto.com/id/2171315771/photo/car-for-traveling-with-a-mountain-road.jpg?s=612x612&amp;w=0&amp;k=20&amp;c=eirBpiMqIcKhocic8rMCULfiGGIwz5IyDRoFnkV617o=" TargetMode="External"/><Relationship Id="rId50" Type="http://schemas.openxmlformats.org/officeDocument/2006/relationships/hyperlink" Target="https://st5.depositphotos.com/3773545/71750/i/380/depositphotos_717508808-stock-photo-young-woman-listening-voice-message.jpg" TargetMode="External"/><Relationship Id="rId1204" Type="http://schemas.openxmlformats.org/officeDocument/2006/relationships/hyperlink" Target="https://media.istockphoto.com/id/2164167925/photo/puddles-and-damaged-asphalt-road-edge-sunny-day.jpg?s=612x612&amp;w=0&amp;k=20&amp;c=Afe1mWHu2PtIe8m_44vlt0f6Wg6u2zqK_8ogGeveex8=" TargetMode="External"/><Relationship Id="rId1411" Type="http://schemas.openxmlformats.org/officeDocument/2006/relationships/hyperlink" Target="https://media.istockphoto.com/id/1464681993/photo/man-riding-motorcycle-with-helmet.jpg?s=1024x1024&amp;w=is&amp;k=20&amp;c=Ju-dugWp0nlHvZZGBh2rdCT0djRFuQTJ6QzDIsY8eSs=" TargetMode="External"/><Relationship Id="rId1649" Type="http://schemas.openxmlformats.org/officeDocument/2006/relationships/hyperlink" Target="https://www.waikatotimes.co.nz/media/images/9Tzi8ywRz924XE3uHaD6DZ3Ef+IdbOiYlvIROR5vlqUeRrexTocZGobKRJ9od%2Fgnk3B%2FCeKTmTAsIjj6Q0YaYb9O2YpAGpC3fY+e4MW+eL23rOfWHa1s5vawlRMxcPDGQhZHBI9zy+lJTa497PoX39Tfn7VlcMzs32LGzlfvJqg9ZIzYi8E4rNP+jifNZ3kVdn0QmCNAuGRHufJWuUQsOA==?resolution=620x350" TargetMode="External"/><Relationship Id="rId1856" Type="http://schemas.openxmlformats.org/officeDocument/2006/relationships/hyperlink" Target="https://st.depositphotos.com/1005951/55322/i/450/depositphotos_553222338-stock-photo-large-roof-box-storage-red.jpg" TargetMode="External"/><Relationship Id="rId1509" Type="http://schemas.openxmlformats.org/officeDocument/2006/relationships/hyperlink" Target="https://media.istockphoto.com/id/690733780/photo/atlanta-skyline.jpg?s=612x612&amp;w=0&amp;k=20&amp;c=uFXzquNTl0noJH3clH6cYe3uzALjbqQHbRoqeGHAuCU=" TargetMode="External"/><Relationship Id="rId1716" Type="http://schemas.openxmlformats.org/officeDocument/2006/relationships/hyperlink" Target="https://media.gettyimages.com/id/1255452931/photo/automobiles-run-a-red-light-at-the-intersection-at-houston-avenue-and-memorial-drive-in.jpg?s=612x612&amp;w=gi&amp;k=20&amp;c=WzSC2ckV-TxEUcvrSy4UNqqLnci7pI81KeUjhKn3GCc=" TargetMode="External"/><Relationship Id="rId1923" Type="http://schemas.openxmlformats.org/officeDocument/2006/relationships/hyperlink" Target="https://compactequip.com/wp-content/uploads/2019/04/atlas-copco-qas-generator-easy-transport.jpg" TargetMode="External"/><Relationship Id="rId297" Type="http://schemas.openxmlformats.org/officeDocument/2006/relationships/hyperlink" Target="https://www.shutterstock.com/shutterstock/photos/285654479/display_1500/stock-photo-woman-crossing-the-street-at-a-pedestrian-crossing-285654479.jpg" TargetMode="External"/><Relationship Id="rId2185" Type="http://schemas.openxmlformats.org/officeDocument/2006/relationships/hyperlink" Target="https://st5.depositphotos.com/49678184/72426/i/380/depositphotos_724268454-stock-photo-rear-view-overloaded-van-traveling.jpg" TargetMode="External"/><Relationship Id="rId157" Type="http://schemas.openxmlformats.org/officeDocument/2006/relationships/hyperlink" Target="https://images.pexels.com/photos/6529871/pexels-photo-6529871.jpeg" TargetMode="External"/><Relationship Id="rId364" Type="http://schemas.openxmlformats.org/officeDocument/2006/relationships/hyperlink" Target="https://c8.alamy.com/comp/EATT1X/a-mother-crosses-a-busy-road-with-her-son-on-his-first-day-of-school-EATT1X.jpg" TargetMode="External"/><Relationship Id="rId2045" Type="http://schemas.openxmlformats.org/officeDocument/2006/relationships/hyperlink" Target="https://media.istockphoto.com/id/1279002529/photo/long-haul-semi-truck-on-a-rural-western-usa-interstate-highway.jpg?s=612x612&amp;w=0&amp;k=20&amp;c=whigLZsLjC6BLRWcEMdgqRt-sZk70T39U0tEDg7NVss=" TargetMode="External"/><Relationship Id="rId571" Type="http://schemas.openxmlformats.org/officeDocument/2006/relationships/hyperlink" Target="https://media.istockphoto.com/id/1212510558/photo/woman-in-green-dress-crossing-street-using-mobile-phone.jpg?s=612x612&amp;w=0&amp;k=20&amp;c=OgaBpsU17t0JuXeFfjJxlF7fEDOQz470_-HKro8siZc=" TargetMode="External"/><Relationship Id="rId669" Type="http://schemas.openxmlformats.org/officeDocument/2006/relationships/hyperlink" Target="https://media.istockphoto.com/id/1069139482/photo/family-crossing-crosswalk-in-the-city.jpg?s=612x612&amp;w=0&amp;k=20&amp;c=ELSL13y8tNga1TwcTQsxiPPbod01qHEOF6iDswq53Ok=" TargetMode="External"/><Relationship Id="rId876" Type="http://schemas.openxmlformats.org/officeDocument/2006/relationships/hyperlink" Target="https://st3.depositphotos.com/1000471/15143/i/450/depositphotos_151433476-stock-photo-car-traffic-on-a-highway.jpg" TargetMode="External"/><Relationship Id="rId1299" Type="http://schemas.openxmlformats.org/officeDocument/2006/relationships/hyperlink" Target="https://st3.depositphotos.com/29384342/35115/i/380/depositphotos_351153820-stock-photo-picturesque-view-countryside-scenery.jpg" TargetMode="External"/><Relationship Id="rId2252" Type="http://schemas.openxmlformats.org/officeDocument/2006/relationships/hyperlink" Target="https://st3.depositphotos.com/2047341/13195/i/450/depositphotos_131953698-stock-photo-trucks-in-sudan-at-the.jpg" TargetMode="External"/><Relationship Id="rId224" Type="http://schemas.openxmlformats.org/officeDocument/2006/relationships/hyperlink" Target="https://st4.depositphotos.com/1192060/38820/i/380/depositphotos_388208736-stock-photo-woman-applying-lipstick-while-driving.jpg" TargetMode="External"/><Relationship Id="rId431" Type="http://schemas.openxmlformats.org/officeDocument/2006/relationships/hyperlink" Target="https://media.istockphoto.com/id/596792426/photo/shinjuku-shopping-district-tokyo-japan.jpg?s=612x612&amp;w=0&amp;k=20&amp;c=mIlda86ptulybv1R3Dw8OUcShy0FDqqEQTRXAPM79Qc=" TargetMode="External"/><Relationship Id="rId529" Type="http://schemas.openxmlformats.org/officeDocument/2006/relationships/hyperlink" Target="https://media.istockphoto.com/id/1553389979/photo/young-women-cross-the-road-at-pedestrian-crossing-in-modern-european-city.jpg?s=612x612&amp;w=0&amp;k=20&amp;c=ibdkOIekYFW-bB1abkTC6x1jUuK-TnPeQboi5-D5o9w=" TargetMode="External"/><Relationship Id="rId736" Type="http://schemas.openxmlformats.org/officeDocument/2006/relationships/hyperlink" Target="https://st3.depositphotos.com/16748900/32882/i/380/depositphotos_328820768-stock-photo-two-pedestrians-cross-road-jaywalk.jpg" TargetMode="External"/><Relationship Id="rId1061" Type="http://schemas.openxmlformats.org/officeDocument/2006/relationships/hyperlink" Target="https://media.istockphoto.com/id/929942316/photo/old-highway-with-holes-and-snow-landscape-road-potholes-in-cloudy-winter-weather-concept.jpg?s=612x612&amp;w=0&amp;k=20&amp;c=ZtK8wJgXLQYEWGMJVGeyZBqVPKsdHMQlml1Vx8i17aw=" TargetMode="External"/><Relationship Id="rId1159" Type="http://schemas.openxmlformats.org/officeDocument/2006/relationships/hyperlink" Target="https://media.istockphoto.com/id/178737837/photo/closeup-of-the-landslide-of-a-blocked-road.jpg?s=612x612&amp;w=0&amp;k=20&amp;c=-M46JyWIGWdZ0g-VdzVFO6gw0Dgw-03NW1oShtVvENE=" TargetMode="External"/><Relationship Id="rId1366" Type="http://schemas.openxmlformats.org/officeDocument/2006/relationships/hyperlink" Target="https://media.istockphoto.com/id/513106144/photo/traffic-on-highway-with-cars.jpg?s=612x612&amp;w=0&amp;k=20&amp;c=dXm6BH6TnIHFu202PlQJNdM12lZQBt11Tkbqx85rHdQ=" TargetMode="External"/><Relationship Id="rId2112" Type="http://schemas.openxmlformats.org/officeDocument/2006/relationships/hyperlink" Target="https://st4.depositphotos.com/7149852/31014/i/450/depositphotos_310146914-stock-photo-modern-car-with-luggage-box.jpg" TargetMode="External"/><Relationship Id="rId943" Type="http://schemas.openxmlformats.org/officeDocument/2006/relationships/hyperlink" Target="https://media.istockphoto.com/id/943054428/photo/coastline-road.jpg?s=612x612&amp;w=0&amp;k=20&amp;c=8ogyDtbyKdnHjV9u5bG4v5sedxFl1Rq3PrhtCTX6eMw=" TargetMode="External"/><Relationship Id="rId1019" Type="http://schemas.openxmlformats.org/officeDocument/2006/relationships/hyperlink" Target="https://st3.depositphotos.com/29384342/33879/i/450/depositphotos_338797404-stock-photo-transit-road-melbourne-skyline-background.jpg" TargetMode="External"/><Relationship Id="rId1573" Type="http://schemas.openxmlformats.org/officeDocument/2006/relationships/hyperlink" Target="https://media.istockphoto.com/id/866354212/photo/city-life.jpg?s=612x612&amp;w=0&amp;k=20&amp;c=-re3IHeoAuoojvLuvDkCYQTZoK_Nr3NjcY0eCt3Dy5Q=" TargetMode="External"/><Relationship Id="rId1780" Type="http://schemas.openxmlformats.org/officeDocument/2006/relationships/hyperlink" Target="https://images.carexpert.com.au/resize/960/-/app/uploads/2023/08/blocked-intersection-2.png" TargetMode="External"/><Relationship Id="rId1878" Type="http://schemas.openxmlformats.org/officeDocument/2006/relationships/hyperlink" Target="https://media.istockphoto.com/id/1282047643/photo/classic-big-rig-semi-truck-tractor-transporting-lumber-on-the-flat-bed-semi-trailer-moving-on.jpg?s=612x612&amp;w=0&amp;k=20&amp;c=vS4MX8uHpO3MGoGQRjW2dXjV0WIfcEIwo1uECc0hF54=" TargetMode="External"/><Relationship Id="rId72" Type="http://schemas.openxmlformats.org/officeDocument/2006/relationships/hyperlink" Target="https://cdn.hswstatic.com/gif/driving-dogs-lap.jpg" TargetMode="External"/><Relationship Id="rId803" Type="http://schemas.openxmlformats.org/officeDocument/2006/relationships/hyperlink" Target="https://encrypted-tbn0.gstatic.com/images?q=tbn:ANd9GcQX-8X2GiyFIH3ouayGKWcUncDZogBtCN9sEpj3gjRsfCnwHMNeGNqJT5uLMAQM1uv53MQ&amp;usqp=CAU" TargetMode="External"/><Relationship Id="rId1226" Type="http://schemas.openxmlformats.org/officeDocument/2006/relationships/hyperlink" Target="https://media.istockphoto.com/id/1776289528/photo/potholes-on-bad-asphalt-road-closeup.jpg?s=612x612&amp;w=0&amp;k=20&amp;c=1ChB5XXjK52dTOOPWXKawhvo_AsjZCfpTSdQ0DOWrOI=" TargetMode="External"/><Relationship Id="rId1433" Type="http://schemas.openxmlformats.org/officeDocument/2006/relationships/hyperlink" Target="https://live.staticflickr.com/65535/50195648326_7c5cf49544.jpg" TargetMode="External"/><Relationship Id="rId1640" Type="http://schemas.openxmlformats.org/officeDocument/2006/relationships/hyperlink" Target="https://encrypted-tbn0.gstatic.com/images?q=tbn:ANd9GcTu7Iu_TLmf4qHybpaVIhcsvQF5PsJ7aNM5O4YJiccNAvJgSVPZZya3ZxfGlIUlS87HPQE&amp;usqp=CAU" TargetMode="External"/><Relationship Id="rId1738" Type="http://schemas.openxmlformats.org/officeDocument/2006/relationships/hyperlink" Target="https://thatsmyspot.com.au/wp-content/uploads/2022/11/Illegal-parking-along-sidewalk-image.jpeg" TargetMode="External"/><Relationship Id="rId1500" Type="http://schemas.openxmlformats.org/officeDocument/2006/relationships/hyperlink" Target="https://images.unsplash.com/photo-1573584681653-f78b856e9521?w=500&amp;auto=format&amp;fit=crop&amp;q=60&amp;ixlib=rb-4.1.0&amp;ixid=M3wxMjA3fDB8MHxwaG90by1yZWxhdGVkfDEzfHx8ZW58MHx8fHx8" TargetMode="External"/><Relationship Id="rId1945" Type="http://schemas.openxmlformats.org/officeDocument/2006/relationships/hyperlink" Target="https://media.istockphoto.com/id/2007939149/photo/small-work-van.jpg?s=612x612&amp;w=0&amp;k=20&amp;c=MeyzTHYOa4puQ2X3RbvQz-6XX8ATsMGAtlgOROLn-Lo=" TargetMode="External"/><Relationship Id="rId1805" Type="http://schemas.openxmlformats.org/officeDocument/2006/relationships/hyperlink" Target="https://encrypted-tbn0.gstatic.com/images?q=tbn:ANd9GcShdFkZ1roWoOOWiTVKWrsrU45SPtgoq_GQNk1xohSyiQBEYCPv9hvFuoMYNo9RmgF3AYg&amp;usqp=CAU" TargetMode="External"/><Relationship Id="rId179" Type="http://schemas.openxmlformats.org/officeDocument/2006/relationships/hyperlink" Target="https://st4.depositphotos.com/5675252/22611/i/380/depositphotos_226118748-stock-photo-man-driving-car-while-eating.jpg" TargetMode="External"/><Relationship Id="rId386" Type="http://schemas.openxmlformats.org/officeDocument/2006/relationships/hyperlink" Target="https://media.istockphoto.com/id/1457298174/photo/citizens-crossing-crowded-zebra-wide-shot.jpg?s=612x612&amp;w=0&amp;k=20&amp;c=T5VpBcBqvmb0qm92Nd8r36AiS2ArCTtgvhPN3CrBi8Y=" TargetMode="External"/><Relationship Id="rId593" Type="http://schemas.openxmlformats.org/officeDocument/2006/relationships/hyperlink" Target="https://encrypted-tbn0.gstatic.com/images?q=tbn:ANd9GcQYHOAtC8Mr4h7s_hlM4iFKmcTHq1ui6W9woj2wgWWKzPWqiX_PKVMfHYmVT2I8fr2wE8s&amp;usqp=CAU" TargetMode="External"/><Relationship Id="rId2067" Type="http://schemas.openxmlformats.org/officeDocument/2006/relationships/hyperlink" Target="https://cdn.pixabay.com/photo/2021/12/04/00/29/truck-6844140_640.jpg" TargetMode="External"/><Relationship Id="rId2274" Type="http://schemas.openxmlformats.org/officeDocument/2006/relationships/hyperlink" Target="https://media.istockphoto.com/id/1131258299/photo/car-image.jpg?s=612x612&amp;w=0&amp;k=20&amp;c=v49ErTNHKHQELS236B2Gw62-IYopts45atCjtp4Yo04=" TargetMode="External"/><Relationship Id="rId246" Type="http://schemas.openxmlformats.org/officeDocument/2006/relationships/hyperlink" Target="https://st2.depositphotos.com/1735158/6602/i/380/depositphotos_66027449-stock-photo-girl-doing-make-up-while.jpg" TargetMode="External"/><Relationship Id="rId453" Type="http://schemas.openxmlformats.org/officeDocument/2006/relationships/hyperlink" Target="https://images.unsplash.com/photo-1624816804260-65ea43f9615e?w=500&amp;auto=format&amp;fit=crop&amp;q=60&amp;ixlib=rb-4.1.0&amp;ixid=M3wxMjA3fDB8MHxzZWFyY2h8N3x8cGVkZXN0cmlhbiUyMHdhbGtpbmd8ZW58MHx8MHx8fDA%3D" TargetMode="External"/><Relationship Id="rId660" Type="http://schemas.openxmlformats.org/officeDocument/2006/relationships/hyperlink" Target="https://media.istockphoto.com/id/1368287848/photo/young-woman-walking-in-the-middle-of-crowded-street-and-looking-time-at-hand-watches-big-city.jpg?s=612x612&amp;w=0&amp;k=20&amp;c=7jve-VOvQHu8R0pWtBUuB3Q4UTvfw3-JMP8EXXX8YO4=" TargetMode="External"/><Relationship Id="rId898" Type="http://schemas.openxmlformats.org/officeDocument/2006/relationships/hyperlink" Target="https://media.istockphoto.com/id/1364129160/photo/open-road.jpg?s=612x612&amp;w=0&amp;k=20&amp;c=wEyAJG4XnWJZ_vQ1vJZhOevnpG-BPhoXZc7yeg1oCJo=" TargetMode="External"/><Relationship Id="rId1083" Type="http://schemas.openxmlformats.org/officeDocument/2006/relationships/hyperlink" Target="https://st4.depositphotos.com/2267983/31334/i/380/depositphotos_313344178-stock-photo-damaged-cars-on-the-road.jpg" TargetMode="External"/><Relationship Id="rId1290" Type="http://schemas.openxmlformats.org/officeDocument/2006/relationships/hyperlink" Target="https://st.depositphotos.com/1730665/1369/i/380/depositphotos_13697119-stock-photo-the-echidna-tachyglossus-aculeatus-crosses.jpg" TargetMode="External"/><Relationship Id="rId2134" Type="http://schemas.openxmlformats.org/officeDocument/2006/relationships/hyperlink" Target="https://media.istockphoto.com/id/461952017/photo/hay-truck.jpg?s=612x612&amp;w=0&amp;k=20&amp;c=kF39O5A7Ds7Tnz2eBzTim4DLHgC5E1Qb9OCOvKPu3RA=" TargetMode="External"/><Relationship Id="rId2341" Type="http://schemas.openxmlformats.org/officeDocument/2006/relationships/hyperlink" Target="https://encrypted-tbn0.gstatic.com/images?q=tbn:ANd9GcQqTx9COrIqbcEFQ9j6fnzqbv-uxiiqULGEzx2Lp5tBTLAfF0O6D5gEAdxl2ebobFCo3kU&amp;usqp=CAU" TargetMode="External"/><Relationship Id="rId106" Type="http://schemas.openxmlformats.org/officeDocument/2006/relationships/hyperlink" Target="https://encrypted-tbn0.gstatic.com/images?q=tbn:ANd9GcTmLs4VMbGPydxFkll6dkIaX7Q3RYUNiQok5qkr4Oay7j-E3tfS2Q2mAPA6sokR9AZ25YA&amp;usqp=CAU" TargetMode="External"/><Relationship Id="rId313" Type="http://schemas.openxmlformats.org/officeDocument/2006/relationships/hyperlink" Target="https://media.istockphoto.com/id/596792426/photo/shinjuku-shopping-district-tokyo-japan.jpg?s=612x612&amp;w=0&amp;k=20&amp;c=mIlda86ptulybv1R3Dw8OUcShy0FDqqEQTRXAPM79Qc=" TargetMode="External"/><Relationship Id="rId758" Type="http://schemas.openxmlformats.org/officeDocument/2006/relationships/hyperlink" Target="https://media.cnn.com/api/v1/images/stellar/prod/gettyimages-1943409413.jpg" TargetMode="External"/><Relationship Id="rId965" Type="http://schemas.openxmlformats.org/officeDocument/2006/relationships/hyperlink" Target="https://static8.depositphotos.com/1421348/902/i/380/depositphotos_9022938-stock-photo-city-highway.jpg" TargetMode="External"/><Relationship Id="rId1150" Type="http://schemas.openxmlformats.org/officeDocument/2006/relationships/hyperlink" Target="https://h7.alamy.com/comp/FJ5NH1/american-bison-buffalo-bison-bison-male-crossing-a-street-usa-wyoming-FJ5NH1.jpg" TargetMode="External"/><Relationship Id="rId1388" Type="http://schemas.openxmlformats.org/officeDocument/2006/relationships/hyperlink" Target="https://encrypted-tbn0.gstatic.com/images?q=tbn:ANd9GcT4WDq9AMHTE1Kgr6Gaih23w82YNwAomnxQKf7G9IadO_yhCKBpgChlsGcOaio6USeGX-k&amp;usqp=CAU" TargetMode="External"/><Relationship Id="rId1595" Type="http://schemas.openxmlformats.org/officeDocument/2006/relationships/hyperlink" Target="https://i.ytimg.com/vi/QOahnV7DJ2s/hq720.jpg?sqp=-oaymwEhCK4FEIIDSFryq4qpAxMIARUAAAAAGAElAADIQj0AgKJD&amp;rs=AOn4CLB05s_1_eFosTJ8_7MO7lj7l95VDg" TargetMode="External"/><Relationship Id="rId94" Type="http://schemas.openxmlformats.org/officeDocument/2006/relationships/hyperlink" Target="https://c8.alamy.com/comp/2JA250B/a-tired-driver-asleep-at-the-wheel-concept-of-man-tired-of-driving-a-man-driver-asleep-at-the-wheel-a-tired-person-sleeping-at-the-wheel-of-the-car-2JA250B.jpg" TargetMode="External"/><Relationship Id="rId520" Type="http://schemas.openxmlformats.org/officeDocument/2006/relationships/hyperlink" Target="https://media.istockphoto.com/id/1265455009/photo/woman-man-and-child-cross-road-at-crosswalk.jpg?s=612x612&amp;w=0&amp;k=20&amp;c=TxCT_JD_IUu1JPsFpEH1pe23mxwJLPwF7OQZLQm_WNs=" TargetMode="External"/><Relationship Id="rId618" Type="http://schemas.openxmlformats.org/officeDocument/2006/relationships/hyperlink" Target="https://www.indystar.com/gcdn/presto/2020/07/05/PIND/05e92eb7-5288-4a67-90eb-e1042ab5091a-02_hoodmarch_RS.JPG" TargetMode="External"/><Relationship Id="rId825" Type="http://schemas.openxmlformats.org/officeDocument/2006/relationships/hyperlink" Target="https://media.istockphoto.com/id/905823954/photo/australian-road-trip-motion-blur-highway-landscape-at-dusk-with-mountain-ararat.jpg?s=612x612&amp;w=0&amp;k=20&amp;c=tnGB24J1Z6xeBitRwEJZezlQYUzSTPfAc7nWixKKAjQ=" TargetMode="External"/><Relationship Id="rId1248" Type="http://schemas.openxmlformats.org/officeDocument/2006/relationships/hyperlink" Target="https://static3.depositphotos.com/1004489/180/i/380/depositphotos_1803795-stock-photo-car-accident-on-a-highway.jpg" TargetMode="External"/><Relationship Id="rId1455" Type="http://schemas.openxmlformats.org/officeDocument/2006/relationships/hyperlink" Target="https://media.istockphoto.com/id/501774837/photo/family-driving-a-car.jpg?s=612x612&amp;w=0&amp;k=20&amp;c=yVisAxobciSYGry8SMFMo-Kt6UzNwYwzwhQAk3MUOFw=" TargetMode="External"/><Relationship Id="rId1662" Type="http://schemas.openxmlformats.org/officeDocument/2006/relationships/hyperlink" Target="https://media.istockphoto.com/id/453376679/photo/dangerous-city-traffic-situation.jpg?s=1024x1024&amp;w=is&amp;k=20&amp;c=3R57_ecaTQXDXoUO0q432OxZHaHmde8j4ld1rsLzGzc=" TargetMode="External"/><Relationship Id="rId2201" Type="http://schemas.openxmlformats.org/officeDocument/2006/relationships/hyperlink" Target="https://st.depositphotos.com/8272416/59368/i/450/depositphotos_593680588-stock-photo-accra-ghana-april-2022-crowded.jpg" TargetMode="External"/><Relationship Id="rId1010" Type="http://schemas.openxmlformats.org/officeDocument/2006/relationships/hyperlink" Target="https://st3.depositphotos.com/30030580/34805/i/450/depositphotos_348055962-stock-photo-the-m1-motorway-is-at.jpg" TargetMode="External"/><Relationship Id="rId1108" Type="http://schemas.openxmlformats.org/officeDocument/2006/relationships/hyperlink" Target="https://media.istockphoto.com/id/157646190/photo/flooded-road-hail-storm.jpg?s=612x612&amp;w=0&amp;k=20&amp;c=ZVH6F-pmSIOu_3kKegdfURPYO_5j_j0-c5hydn68tDI=" TargetMode="External"/><Relationship Id="rId1315" Type="http://schemas.openxmlformats.org/officeDocument/2006/relationships/hyperlink" Target="https://media.istockphoto.com/id/1148691627/photo/macropus-giganteus-eastern-grey-kangaroo-in-tasmania-in-australia-maria-island-tasmania.jpg?s=612x612&amp;w=0&amp;k=20&amp;c=qIgIqpr4ULtE1ByOI9UWNW3AbLJKuA21fmOwXQCwHeM=" TargetMode="External"/><Relationship Id="rId1967" Type="http://schemas.openxmlformats.org/officeDocument/2006/relationships/hyperlink" Target="https://media.istockphoto.com/id/1352925342/photo/caravan-holiday.jpg?s=612x612&amp;w=0&amp;k=20&amp;c=Stjv3LUKRW5FASG4z0RxSI9WPIoJf5nVJ9gMiGAvRps=" TargetMode="External"/><Relationship Id="rId1522" Type="http://schemas.openxmlformats.org/officeDocument/2006/relationships/hyperlink" Target="https://upload.wikimedia.org/wikipedia/commons/4/4c/4waystop.jpg" TargetMode="External"/><Relationship Id="rId21" Type="http://schemas.openxmlformats.org/officeDocument/2006/relationships/hyperlink" Target="https://st2.depositphotos.com/1662991/7158/i/380/depositphotos_71584357-stock-photo-couple-texting-and-driving.jpg" TargetMode="External"/><Relationship Id="rId2089" Type="http://schemas.openxmlformats.org/officeDocument/2006/relationships/hyperlink" Target="https://plus.unsplash.com/premium_photo-1664695710271-3b7a08fb6d38?w=400&amp;auto=format&amp;fit=crop&amp;q=60&amp;ixlib=rb-4.1.0&amp;ixid=M3wxMjA3fDB8MHxwaG90by1yZWxhdGVkfDE2fHx8ZW58MHx8fHx8" TargetMode="External"/><Relationship Id="rId2296" Type="http://schemas.openxmlformats.org/officeDocument/2006/relationships/hyperlink" Target="https://images.unsplash.com/photo-1653508310311-127794be33b6?w=400&amp;auto=format&amp;fit=crop&amp;q=60&amp;ixlib=rb-4.1.0&amp;ixid=M3wxMjA3fDB8MHxzZWFyY2h8MTJ8fHRyYWlsZXIlMjBsb2FkJTIwb2YlMjB0cmFzaHxlbnwwfHwwfHx8MA%3D%3D" TargetMode="External"/><Relationship Id="rId268" Type="http://schemas.openxmlformats.org/officeDocument/2006/relationships/hyperlink" Target="https://st5.depositphotos.com/4218696/67112/i/380/depositphotos_671121532-stock-photo-distracted-driving-concept-shocked-scared.jpg" TargetMode="External"/><Relationship Id="rId475" Type="http://schemas.openxmlformats.org/officeDocument/2006/relationships/hyperlink" Target="https://images.unsplash.com/photo-1642071241624-4886abb7a3e1?w=500&amp;auto=format&amp;fit=crop&amp;q=60&amp;ixlib=rb-4.1.0&amp;ixid=M3wxMjA3fDB8MHxzZWFyY2h8MTA4fHxwZWRlc3RyaWFuJTIwd2Fsa2luZyUyMGdyZWVuJTIwbGlnaHR8ZW58MHx8MHx8fDA%3D" TargetMode="External"/><Relationship Id="rId682" Type="http://schemas.openxmlformats.org/officeDocument/2006/relationships/hyperlink" Target="https://media.istockphoto.com/id/533502443/photo/teenager-text-messaging.jpg?s=612x612&amp;w=0&amp;k=20&amp;c=23UqlketfkmdrrOPTvDhwz_8n6JL3xoKRpJRBVTzFLU=" TargetMode="External"/><Relationship Id="rId2156" Type="http://schemas.openxmlformats.org/officeDocument/2006/relationships/hyperlink" Target="https://blog.trucksuvidha.com/wp-content/uploads/2015/02/Picture15.jpg" TargetMode="External"/><Relationship Id="rId128" Type="http://schemas.openxmlformats.org/officeDocument/2006/relationships/hyperlink" Target="https://encrypted-tbn0.gstatic.com/images?q=tbn:ANd9GcSbHxmvukcBzqFL3TrMnmgyM0Wo56WFjrDWJg&amp;s" TargetMode="External"/><Relationship Id="rId335" Type="http://schemas.openxmlformats.org/officeDocument/2006/relationships/hyperlink" Target="https://media.istockphoto.com/id/1265455009/photo/woman-man-and-child-cross-road-at-crosswalk.jpg?s=612x612&amp;w=0&amp;k=20&amp;c=TxCT_JD_IUu1JPsFpEH1pe23mxwJLPwF7OQZLQm_WNs=" TargetMode="External"/><Relationship Id="rId542" Type="http://schemas.openxmlformats.org/officeDocument/2006/relationships/hyperlink" Target="https://images.unsplash.com/photo-1727703551558-fac2cc06bf67?w=500&amp;auto=format&amp;fit=crop&amp;q=60&amp;ixlib=rb-4.1.0&amp;ixid=M3wxMjA3fDB8MHxwaG90by1yZWxhdGVkfDd8fHxlbnwwfHx8fHw%3D" TargetMode="External"/><Relationship Id="rId1172" Type="http://schemas.openxmlformats.org/officeDocument/2006/relationships/hyperlink" Target="https://media.istockphoto.com/id/182678225/photo/tree-fallen-from-wind-storm.jpg?s=612x612&amp;w=0&amp;k=20&amp;c=u7DGkbKVue0MnMqNrJM47OQeHmicXM7T_sf1PXNb0gE=" TargetMode="External"/><Relationship Id="rId2016" Type="http://schemas.openxmlformats.org/officeDocument/2006/relationships/hyperlink" Target="https://plus.unsplash.com/premium_photo-1661964199430-3e49c575b0b0?w=400&amp;auto=format&amp;fit=crop&amp;q=60&amp;ixlib=rb-4.1.0&amp;ixid=M3wxMjA3fDB8MHxwaG90by1yZWxhdGVkfDQ0fHx8ZW58MHx8fHx8" TargetMode="External"/><Relationship Id="rId2223" Type="http://schemas.openxmlformats.org/officeDocument/2006/relationships/hyperlink" Target="https://st4.depositphotos.com/7149852/31014/i/450/depositphotos_310146914-stock-photo-modern-car-with-luggage-box.jpg" TargetMode="External"/><Relationship Id="rId402" Type="http://schemas.openxmlformats.org/officeDocument/2006/relationships/hyperlink" Target="https://media.istockphoto.com/id/1138882521/photo/crossing-the-street-in-san-franciscos-mission-district.jpg?s=612x612&amp;w=0&amp;k=20&amp;c=lAvxWIESjRZfzBYfaVFqwCJQyqZAy8Go3ajhsvovsW0=" TargetMode="External"/><Relationship Id="rId1032" Type="http://schemas.openxmlformats.org/officeDocument/2006/relationships/hyperlink" Target="https://media.istockphoto.com/id/1147785858/photo/road.jpg?s=612x612&amp;w=0&amp;k=20&amp;c=gFx0MjOKF5vTbIO43QnfcjrSH5rkl9ZUpk8nvjRPGFk=" TargetMode="External"/><Relationship Id="rId1989" Type="http://schemas.openxmlformats.org/officeDocument/2006/relationships/hyperlink" Target="https://media.istockphoto.com/id/648217724/photo/car-with-kayak-on-top-roof.jpg?s=612x612&amp;w=0&amp;k=20&amp;c=kY9-NNW_ms7GPwUZ0bUdBLrPKh3WIkTzjlsUVuZMj8A=" TargetMode="External"/><Relationship Id="rId1849" Type="http://schemas.openxmlformats.org/officeDocument/2006/relationships/hyperlink" Target="https://compactequip.com/wp-content/uploads/2019/04/atlas-copco-qas-generator-easy-transport.jpg" TargetMode="External"/><Relationship Id="rId192" Type="http://schemas.openxmlformats.org/officeDocument/2006/relationships/hyperlink" Target="https://st2.depositphotos.com/1010613/7611/i/380/depositphotos_76114713-stock-photo-businessman-eating-snack.jpg" TargetMode="External"/><Relationship Id="rId1709" Type="http://schemas.openxmlformats.org/officeDocument/2006/relationships/hyperlink" Target="https://images.unsplash.com/photo-1668079061766-0d7f1c2b7996?w=500&amp;auto=format&amp;fit=crop&amp;q=60&amp;ixlib=rb-4.1.0&amp;ixid=M3wxMjA3fDB8MHxzZWFyY2h8Mjd8fGNhciUyMGF0JTIwcmVkJTIwbGlnaHR8ZW58MHx8MHx8fDA%3D" TargetMode="External"/><Relationship Id="rId1916" Type="http://schemas.openxmlformats.org/officeDocument/2006/relationships/hyperlink" Target="https://live.staticflickr.com/65535/50328552863_082a2f95a2_z.jpg" TargetMode="External"/><Relationship Id="rId2080" Type="http://schemas.openxmlformats.org/officeDocument/2006/relationships/hyperlink" Target="https://media.istockphoto.com/id/1087268414/photo/bale-truck-carrying-straw.jpg?s=612x612&amp;w=0&amp;k=20&amp;c=C-bcXCZeEJiCG5DeTMAAwu8H1GjD--FUnxwpKOSPxvg=" TargetMode="External"/><Relationship Id="rId869" Type="http://schemas.openxmlformats.org/officeDocument/2006/relationships/hyperlink" Target="https://static01.nyt.com/images/2012/04/13/arts/13JPDRIVE1/13JPDRIVE1-superJumbo.jpg" TargetMode="External"/><Relationship Id="rId1499" Type="http://schemas.openxmlformats.org/officeDocument/2006/relationships/hyperlink" Target="https://images.unsplash.com/photo-1574868923023-e0cb604ad557?w=500&amp;auto=format&amp;fit=crop&amp;q=60&amp;ixlib=rb-4.1.0&amp;ixid=M3wxMjA3fDB8MHxwaG90by1yZWxhdGVkfDl8fHxlbnwwfHx8fHw%3D" TargetMode="External"/><Relationship Id="rId729" Type="http://schemas.openxmlformats.org/officeDocument/2006/relationships/hyperlink" Target="https://media.istockphoto.com/id/1150351464/photo/jaywalking-on-a-city-street.jpg?s=612x612&amp;w=0&amp;k=20&amp;c=xvH692j6e2bA03I86zgcYoZ40DLRmf1Dd_hR7IY5n-Y=" TargetMode="External"/><Relationship Id="rId1359" Type="http://schemas.openxmlformats.org/officeDocument/2006/relationships/hyperlink" Target="https://www.travelandleisure.com/thmb/Q2RsMvQNGug4fX5IFuML-5coY5s=/1500x0/filters:no_upscale():max_bytes(150000):strip_icc()/TAL-crowds-WHENBRISBANE1124-9c0850cf61b74e0e96baf19a857524df.jpg" TargetMode="External"/><Relationship Id="rId936" Type="http://schemas.openxmlformats.org/officeDocument/2006/relationships/hyperlink" Target="https://media.istockphoto.com/id/1057809092/photo/russian-roads-in-karelia-travel-by-road-asphalt-road-smooth-road.jpg?s=612x612&amp;w=0&amp;k=20&amp;c=fBouhuAtPjuQ9Uzzr9epMXNGCgt-MsLoZGRRCMdMcCY=" TargetMode="External"/><Relationship Id="rId1219" Type="http://schemas.openxmlformats.org/officeDocument/2006/relationships/hyperlink" Target="https://media.istockphoto.com/id/1688511727/photo/pothole-on-asphalt-road-filled-with-water.jpg?s=612x612&amp;w=0&amp;k=20&amp;c=HA4osRHz_nzftv_rA2amuJG90o5G1fQ66W4BxbS1IVE=" TargetMode="External"/><Relationship Id="rId1566" Type="http://schemas.openxmlformats.org/officeDocument/2006/relationships/hyperlink" Target="https://media.istockphoto.com/id/617778720/photo/main-road-in-melbourne.jpg?s=612x612&amp;w=0&amp;k=20&amp;c=zDkc-Bg4VOUIxhUHukD7thrDu6oYQPpMeuBx_A08V1s=" TargetMode="External"/><Relationship Id="rId1773" Type="http://schemas.openxmlformats.org/officeDocument/2006/relationships/hyperlink" Target="https://images.carexpert.com.au/resize/960/-/cms/v1/media/2023-07-blocked-intersection.jpg" TargetMode="External"/><Relationship Id="rId1980" Type="http://schemas.openxmlformats.org/officeDocument/2006/relationships/hyperlink" Target="https://media.istockphoto.com/id/1388560519/photo/large-roof-box.jpg?s=612x612&amp;w=0&amp;k=20&amp;c=Tr8UzIOdr0GkCemz-maS0eIlRcztTSmHXTMZyoJxAA0=" TargetMode="External"/><Relationship Id="rId65" Type="http://schemas.openxmlformats.org/officeDocument/2006/relationships/hyperlink" Target="https://media.gettyimages.com/id/1657434172/photo/distracted-female-driver-looking-at-passengers-phone.jpg?s=612x612&amp;w=gi&amp;k=20&amp;c=M2-qy8qa4RRCABGMmBCNWgS62bR56W9MQG7THhzqtX0=" TargetMode="External"/><Relationship Id="rId1426" Type="http://schemas.openxmlformats.org/officeDocument/2006/relationships/hyperlink" Target="https://images.perthnow.com.au/publication/C-18942408/b56f243642a9d85ad058b9eddf6d9b79dd0437bb-16x9-x0y283w2776h1562.jpg?imwidth=668&amp;impolicy=pn_v3" TargetMode="External"/><Relationship Id="rId1633" Type="http://schemas.openxmlformats.org/officeDocument/2006/relationships/hyperlink" Target="https://bicyclensw.org.au/wp-content/uploads/2020/01/Door-Zone_600x400.png" TargetMode="External"/><Relationship Id="rId1840" Type="http://schemas.openxmlformats.org/officeDocument/2006/relationships/hyperlink" Target="https://encrypted-tbn0.gstatic.com/images?q=tbn:ANd9GcQ1FWtGivGZo1cG6g6FWzJCOHl85yd0idlUSw&amp;s" TargetMode="External"/><Relationship Id="rId1700" Type="http://schemas.openxmlformats.org/officeDocument/2006/relationships/hyperlink" Target="https://tse2.mm.bing.net/th/id/OIP.hepp42cIKG2BKRSmveec_gHaE8?r=0&amp;pid=Api" TargetMode="External"/><Relationship Id="rId379" Type="http://schemas.openxmlformats.org/officeDocument/2006/relationships/hyperlink" Target="https://c8.alamy.com/comp/2B7MNR0/berlin-germany-januari-1-2020-people-stand-on-a-pedestrian-crossing-the-green-light-on-the-traffic-light-2B7MNR0.jpg" TargetMode="External"/><Relationship Id="rId586" Type="http://schemas.openxmlformats.org/officeDocument/2006/relationships/hyperlink" Target="https://st4.depositphotos.com/21607914/24190/i/380/depositphotos_241900166-stock-photo-chinese-pedestrians-jaywalk-road-red.jpg" TargetMode="External"/><Relationship Id="rId793" Type="http://schemas.openxmlformats.org/officeDocument/2006/relationships/hyperlink" Target="https://images.pexels.com/photos/20030515/pexels-photo-20030515.jpeg" TargetMode="External"/><Relationship Id="rId2267" Type="http://schemas.openxmlformats.org/officeDocument/2006/relationships/hyperlink" Target="https://st3.depositphotos.com/1550655/15907/i/450/depositphotos_159076868-stock-photo-over-load-on-toyota-commuter.jpg" TargetMode="External"/><Relationship Id="rId239" Type="http://schemas.openxmlformats.org/officeDocument/2006/relationships/hyperlink" Target="https://st5.depositphotos.com/82627138/78110/i/380/depositphotos_781109856-stock-photo-businesswoman-putting-makeup-while-sitting.jpg" TargetMode="External"/><Relationship Id="rId446" Type="http://schemas.openxmlformats.org/officeDocument/2006/relationships/hyperlink" Target="https://st3.depositphotos.com/16849182/33660/i/380/depositphotos_336604854-stock-photo-one-pedestrian-walking-through-the.jpg" TargetMode="External"/><Relationship Id="rId653" Type="http://schemas.openxmlformats.org/officeDocument/2006/relationships/hyperlink" Target="https://media.istockphoto.com/id/1152269806/photo/low-angle-of-car-in-front-of-pedestrian-crossing-and-walking-boy-with-smartphone.jpg?s=612x612&amp;w=0&amp;k=20&amp;c=9SZeOADKBUdugkDrnp4ADca7oLmr4iujvhwH7oeW5SM=" TargetMode="External"/><Relationship Id="rId1076" Type="http://schemas.openxmlformats.org/officeDocument/2006/relationships/hyperlink" Target="https://media.istockphoto.com/id/618419138/photo/large-pit-on-the-old-road-in-the-winter.jpg?s=612x612&amp;w=0&amp;k=20&amp;c=-WE7kM5CHaMRQVFJYUYyq3Y3Nct20sGN43wWY3lBMmA=" TargetMode="External"/><Relationship Id="rId1283" Type="http://schemas.openxmlformats.org/officeDocument/2006/relationships/hyperlink" Target="https://st5.depositphotos.com/26285604/67760/i/380/depositphotos_677606274-stock-photo-porcupine-crossing-road-khao-yai.jpg" TargetMode="External"/><Relationship Id="rId1490" Type="http://schemas.openxmlformats.org/officeDocument/2006/relationships/hyperlink" Target="https://images.unsplash.com/photo-1707179174362-2c951c1ea8d0?w=500&amp;auto=format&amp;fit=crop&amp;q=60&amp;ixlib=rb-4.1.0&amp;ixid=M3wxMjA3fDB8MHxzZWFyY2h8MjZ8fGNhciUyMGF0JTIwcmVkJTIwbGlnaHR8ZW58MHx8MHx8fDA%3D" TargetMode="External"/><Relationship Id="rId2127" Type="http://schemas.openxmlformats.org/officeDocument/2006/relationships/hyperlink" Target="https://images.unsplash.com/photo-1593453956714-f33d116c223c?w=400&amp;auto=format&amp;fit=crop&amp;q=60&amp;ixlib=rb-4.1.0&amp;ixid=M3wxMjA3fDB8MHxzZWFyY2h8OHx8dHJ1Y2slMjBjYXJyeWluZ3xlbnwwfHwwfHx8MA%3D%3D" TargetMode="External"/><Relationship Id="rId2334" Type="http://schemas.openxmlformats.org/officeDocument/2006/relationships/hyperlink" Target="https://www.shutterstock.com/image-photo/serakhs-turkmenistan-may-18-2007-260nw-1807857361.jpg" TargetMode="External"/><Relationship Id="rId306" Type="http://schemas.openxmlformats.org/officeDocument/2006/relationships/hyperlink" Target="https://media.istockphoto.com/id/1143981682/photo/children-next-to-a-car-walking-through-pedestrian-crossing-to-the-school.jpg?s=612x612&amp;w=0&amp;k=20&amp;c=lDXFrGAhXDy_WJPOa4sQXcGm8snIOxSGvbnXM2NCEl8=" TargetMode="External"/><Relationship Id="rId860" Type="http://schemas.openxmlformats.org/officeDocument/2006/relationships/hyperlink" Target="https://c8.alamy.com/comp/2AW2BCR/singapore-january-2020-a-road-sign-indicating-access-to-the-construction-site-2AW2BCR.jpg" TargetMode="External"/><Relationship Id="rId1143" Type="http://schemas.openxmlformats.org/officeDocument/2006/relationships/hyperlink" Target="https://www.canberratimes.com.au/images/transform/v1/crop/frm/175630965/4690ef79-28e6-4d79-a8d2-263f1c852249.png/r0_135_1018_669_w1200_h630_fmax.jpg" TargetMode="External"/><Relationship Id="rId513" Type="http://schemas.openxmlformats.org/officeDocument/2006/relationships/hyperlink" Target="https://media.istockphoto.com/id/1264312873/photo/mother-and-child-on-crosswalk-street.jpg?s=612x612&amp;w=0&amp;k=20&amp;c=6uJ16_En3JW6hV5B9mOyQLgoKw9IZ6HR82MIL4R2iRI=" TargetMode="External"/><Relationship Id="rId720" Type="http://schemas.openxmlformats.org/officeDocument/2006/relationships/hyperlink" Target="https://media.istockphoto.com/id/1194518540/photo/children-jaywalking.jpg?s=612x612&amp;w=0&amp;k=20&amp;c=S5ELtbN0eplB3RuLP8x0r-WkmKJhvVZoi51gSFOvhw4=" TargetMode="External"/><Relationship Id="rId1350" Type="http://schemas.openxmlformats.org/officeDocument/2006/relationships/hyperlink" Target="https://media.istockphoto.com/id/1324873600/photo/flooded-neighborhood-streets-in-fort-lauderdale-florida-usa.jpg?s=612x612&amp;w=0&amp;k=20&amp;c=LjGklTA9h5K0fuRPu1cudjRfzdEjc_1cabB-11YsutI=" TargetMode="External"/><Relationship Id="rId1003" Type="http://schemas.openxmlformats.org/officeDocument/2006/relationships/hyperlink" Target="https://st5.depositphotos.com/6194606/81701/i/450/depositphotos_817010644-stock-photo-perth-australia-april-2025-mitchell.jpg" TargetMode="External"/><Relationship Id="rId1210" Type="http://schemas.openxmlformats.org/officeDocument/2006/relationships/hyperlink" Target="https://media.istockphoto.com/id/941160696/photo/potholes-on-a-paved-road.jpg?s=612x612&amp;w=0&amp;k=20&amp;c=r3cMwK6Yfj1pCE_itggsAq7V8jsFYjFmS3912Cyry_Y=" TargetMode="External"/><Relationship Id="rId2191" Type="http://schemas.openxmlformats.org/officeDocument/2006/relationships/hyperlink" Target="https://st5.depositphotos.com/72897924/61726/i/450/depositphotos_617269340-stock-photo-african-people-street-senegal.jpg" TargetMode="External"/><Relationship Id="rId163" Type="http://schemas.openxmlformats.org/officeDocument/2006/relationships/hyperlink" Target="https://media.istockphoto.com/id/1639627914/photo/young-man-eating-a-sandwich-while-driving-a-car.webp?s=2048x2048&amp;w=is&amp;k=20&amp;c=0u3vyUzJSCNKGh9f5iMiJeBOViFjHL3NTQLsja5gVLc=" TargetMode="External"/><Relationship Id="rId370" Type="http://schemas.openxmlformats.org/officeDocument/2006/relationships/hyperlink" Target="https://www.shutterstock.com/shutterstock/photos/285654479/display_1500/stock-photo-woman-crossing-the-street-at-a-pedestrian-crossing-285654479.jpg" TargetMode="External"/><Relationship Id="rId2051" Type="http://schemas.openxmlformats.org/officeDocument/2006/relationships/hyperlink" Target="https://c8.alamy.com/comp/C4053X/dover-port-aerial-view-trucks-lorries-trailers-queuing-below-gantry-C4053X.jpg" TargetMode="External"/><Relationship Id="rId230" Type="http://schemas.openxmlformats.org/officeDocument/2006/relationships/hyperlink" Target="https://st5.depositphotos.com/1192060/65935/i/380/depositphotos_659354892-stock-photo-woman-putting-lipstick-while-steering.jpg" TargetMode="External"/><Relationship Id="rId1677" Type="http://schemas.openxmlformats.org/officeDocument/2006/relationships/hyperlink" Target="https://media.istockphoto.com/id/1143439122/photo/aerial-pedestrian-crowd-crossing-top-view.jpg?s=612x612&amp;w=0&amp;k=20&amp;c=r-nP1jEDXcx8I6iz4uv_H6zR0bw3LvJY1spadPxTYVE=" TargetMode="External"/><Relationship Id="rId1884" Type="http://schemas.openxmlformats.org/officeDocument/2006/relationships/hyperlink" Target="https://cdn.pixabay.com/photo/2017/09/17/14/17/truck-2758534_640.jpg" TargetMode="External"/><Relationship Id="rId907" Type="http://schemas.openxmlformats.org/officeDocument/2006/relationships/hyperlink" Target="https://media.istockphoto.com/id/1248118439/photo/road-on-the-island-of-tasmania.jpg?s=612x612&amp;w=0&amp;k=20&amp;c=KwIdpCoW3bZYUlMIgxJbTDLnK-qjy2QNdk1djLN32Oc=" TargetMode="External"/><Relationship Id="rId1537" Type="http://schemas.openxmlformats.org/officeDocument/2006/relationships/hyperlink" Target="https://img.philkotse.com/temp/2024/07/27/inter-3c7b-wm-b688.webp" TargetMode="External"/><Relationship Id="rId1744" Type="http://schemas.openxmlformats.org/officeDocument/2006/relationships/hyperlink" Target="https://bicyclecoalition.org/wp-content/uploads/2018/09/1.jpg" TargetMode="External"/><Relationship Id="rId1951" Type="http://schemas.openxmlformats.org/officeDocument/2006/relationships/hyperlink" Target="https://st.depositphotos.com/1005951/55322/i/450/depositphotos_553222338-stock-photo-large-roof-box-storage-red.jpg" TargetMode="External"/><Relationship Id="rId36" Type="http://schemas.openxmlformats.org/officeDocument/2006/relationships/hyperlink" Target="https://st5.depositphotos.com/4395427/66280/i/380/depositphotos_662804030-stock-photo-asian-woman-bad-eating-habits.jpg" TargetMode="External"/><Relationship Id="rId1604" Type="http://schemas.openxmlformats.org/officeDocument/2006/relationships/hyperlink" Target="https://media.istockphoto.com/id/1214893505/photo/people-without-helmet-violating-traffic-rules-boy-wearing-an-n-95-face-mask-sits-behind-his.jpg?s=612x612&amp;w=0&amp;k=20&amp;c=V9IEmbVA2J8XgTkKKLYM0fwh3Q9OoTGHKMeoH6Lg1oQ=" TargetMode="External"/><Relationship Id="rId1811" Type="http://schemas.openxmlformats.org/officeDocument/2006/relationships/hyperlink" Target="https://encrypted-tbn0.gstatic.com/images?q=tbn:ANd9GcSNWL4_Iyu-_7liBKlSnd4xZ2XxAKysOIuU4nppAS6I9opNAssS8aVU76BEd6x9JRBeomU&amp;usqp=CAU" TargetMode="External"/><Relationship Id="rId697" Type="http://schemas.openxmlformats.org/officeDocument/2006/relationships/hyperlink" Target="https://media.istockphoto.com/id/2156838758/photo/woman-strolls-with-phone-and-ice-cream.jpg?s=612x612&amp;w=0&amp;k=20&amp;c=2wloP8A1JOFCsm2VAQRmqhfzWmblhpDTw8D5uGFtTcI=" TargetMode="External"/><Relationship Id="rId1187" Type="http://schemas.openxmlformats.org/officeDocument/2006/relationships/hyperlink" Target="https://media.istockphoto.com/id/1151871082/photo/tree-that-fell-after-a-storm-in-the-urban-area-old-tree-trunk-fallen-in-the-city.jpg?s=612x612&amp;w=0&amp;k=20&amp;c=cR0pP-kTpPPJKCuR4qPD4PDNGyRqGVyP7uFd2jv0a60=" TargetMode="External"/><Relationship Id="rId557" Type="http://schemas.openxmlformats.org/officeDocument/2006/relationships/hyperlink" Target="https://www.marietta-chiropractor.com/wp-content/uploads/sites/11/2022/09/Distracted-Walking.jpg" TargetMode="External"/><Relationship Id="rId764" Type="http://schemas.openxmlformats.org/officeDocument/2006/relationships/hyperlink" Target="https://www.delawareonline.com/gcdn/presto/2018/08/06/PWIL/612222e6-c0f1-41ea-be23-6b0e7a355920-080618-Jaywalking-SP107.JPG" TargetMode="External"/><Relationship Id="rId971" Type="http://schemas.openxmlformats.org/officeDocument/2006/relationships/hyperlink" Target="https://st2.depositphotos.com/1035886/6468/i/450/depositphotos_64680483-stock-photo-perth-freeway-traffic.jpg" TargetMode="External"/><Relationship Id="rId1394" Type="http://schemas.openxmlformats.org/officeDocument/2006/relationships/hyperlink" Target="https://media.istockphoto.com/id/542076936/photo/sydney-road-brunswick.jpg?s=612x612&amp;w=0&amp;k=20&amp;c=mlJ7tgkOqwfE-Xp3G5nm_oBEc27HoXE_amTr8cwW690=" TargetMode="External"/><Relationship Id="rId2238" Type="http://schemas.openxmlformats.org/officeDocument/2006/relationships/hyperlink" Target="https://st4.depositphotos.com/5764720/31101/i/450/depositphotos_311015906-stock-photo-funny-horse-transport-carriage-horses.jpg" TargetMode="External"/><Relationship Id="rId417" Type="http://schemas.openxmlformats.org/officeDocument/2006/relationships/hyperlink" Target="https://media.istockphoto.com/id/1415122300/photo/a-mother-and-her-son-crossing-road-on-way-to-school.jpg?s=612x612&amp;w=0&amp;k=20&amp;c=AWKWp2uR3tG0yv4LzR1qeN5btTQU7hiS-RMOhUa-pW4=" TargetMode="External"/><Relationship Id="rId624" Type="http://schemas.openxmlformats.org/officeDocument/2006/relationships/hyperlink" Target="https://live.staticflickr.com/7157/6494132543_3bbc295cfc_b.jpg" TargetMode="External"/><Relationship Id="rId831" Type="http://schemas.openxmlformats.org/officeDocument/2006/relationships/hyperlink" Target="https://media.istockphoto.com/id/1206248128/photo/beautiful-asphalt-road-with-turns-through-the-schwarzwald-forest-in-germany.jpg?s=612x612&amp;w=0&amp;k=20&amp;c=GiEBX8vDCsZp80RgCTnMAmaGNbcGBXCviIGQysDnpsg=" TargetMode="External"/><Relationship Id="rId1047" Type="http://schemas.openxmlformats.org/officeDocument/2006/relationships/hyperlink" Target="https://upload.wikimedia.org/wikipedia/commons/thumb/7/77/Deer_Park_Bypass_eastbound_at_Western_Ring_Road.jpg/250px-Deer_Park_Bypass_eastbound_at_Western_Ring_Road.jpg" TargetMode="External"/><Relationship Id="rId1254" Type="http://schemas.openxmlformats.org/officeDocument/2006/relationships/hyperlink" Target="https://media.istockphoto.com/id/171276431/photo/storm-damaged-traffic-light.jpg?s=612x612&amp;w=0&amp;k=20&amp;c=X1vrx9gCvbZnLQ4UPcBSW7V0TU8s0pIfMzH9kbM7H6I=" TargetMode="External"/><Relationship Id="rId1461" Type="http://schemas.openxmlformats.org/officeDocument/2006/relationships/hyperlink" Target="https://media.istockphoto.com/id/510399253/photo/busy-highway.jpg?s=612x612&amp;w=0&amp;k=20&amp;c=ex27rahrcjx2ZDB5qJgSKgTPqEzx6IBTeRhg75aGrz4=" TargetMode="External"/><Relationship Id="rId2305" Type="http://schemas.openxmlformats.org/officeDocument/2006/relationships/hyperlink" Target="https://media.istockphoto.com/id/545245882/photo/truck-with-hay-on-a-road.jpg?s=612x612&amp;w=0&amp;k=20&amp;c=cngGF2v1nloJsXKgO3QhDglEjd3TajzmBhyLQLuog-A=" TargetMode="External"/><Relationship Id="rId1114" Type="http://schemas.openxmlformats.org/officeDocument/2006/relationships/hyperlink" Target="https://mesquitelocalnews.com/wp-content/uploads/2024/06/manholecoversdirect-314981-trafficpotholerubble-image1.jpg" TargetMode="External"/><Relationship Id="rId1321" Type="http://schemas.openxmlformats.org/officeDocument/2006/relationships/hyperlink" Target="https://media.istockphoto.com/id/92809152/photo/kangaroo-crossing-in-front-of-a-sign.jpg?s=612x612&amp;w=0&amp;k=20&amp;c=YVAYDEuESIp-Dbi7snyZHosiKr9wdIfYZk58inkDNU8=" TargetMode="External"/><Relationship Id="rId2095" Type="http://schemas.openxmlformats.org/officeDocument/2006/relationships/hyperlink" Target="https://blog.trucksuvidha.com/wp-content/uploads/2015/02/Picture15.jpg" TargetMode="External"/><Relationship Id="rId274" Type="http://schemas.openxmlformats.org/officeDocument/2006/relationships/hyperlink" Target="https://st2.depositphotos.com/3947277/5734/i/380/depositphotos_57340311-stock-photo-african-woman-stuck-in-traffic.jpg" TargetMode="External"/><Relationship Id="rId481" Type="http://schemas.openxmlformats.org/officeDocument/2006/relationships/hyperlink" Target="https://images.unsplash.com/photo-1623029861914-bd883be5969e?w=500&amp;auto=format&amp;fit=crop&amp;q=60&amp;ixlib=rb-4.1.0&amp;ixid=M3wxMjA3fDB8MHxzZWFyY2h8MTIyfHxwZWRlc3RyaWFuJTIwd2Fsa2luZyUyMGdyZWVuJTIwbGlnaHR8ZW58MHx8MHx8fDA%3D" TargetMode="External"/><Relationship Id="rId2162" Type="http://schemas.openxmlformats.org/officeDocument/2006/relationships/hyperlink" Target="https://www.team-bhp.com/forum/attachments/road-safety/2519250d1697766847-cargo-protruding-outside-trucks-height-width-traffic-hazard-killer-fb_img_1697766480549.jpg" TargetMode="External"/><Relationship Id="rId134" Type="http://schemas.openxmlformats.org/officeDocument/2006/relationships/hyperlink" Target="https://encrypted-tbn0.gstatic.com/images?q=tbn:ANd9GcTUS4Iz29HjVQQXCjQRjZz9xUR0wyC8o-Me6Q&amp;s" TargetMode="External"/><Relationship Id="rId341" Type="http://schemas.openxmlformats.org/officeDocument/2006/relationships/hyperlink" Target="https://images.unsplash.com/photo-1530261316168-757e4c267137?w=500&amp;auto=format&amp;fit=crop&amp;q=60&amp;ixlib=rb-4.1.0&amp;ixid=M3wxMjA3fDB8MHxwaG90by1yZWxhdGVkfDE1fHx8ZW58MHx8fHx8" TargetMode="External"/><Relationship Id="rId2022" Type="http://schemas.openxmlformats.org/officeDocument/2006/relationships/hyperlink" Target="https://media.istockphoto.com/id/157286698/photo/tow-truck-hauling-a-new-red-car.jpg?s=612x612&amp;w=0&amp;k=20&amp;c=RY6v23MkyjhBjLw7HNhnvUWQqNqmGX4SbR5Y1P1ScE8=" TargetMode="External"/><Relationship Id="rId201" Type="http://schemas.openxmlformats.org/officeDocument/2006/relationships/hyperlink" Target="https://st5.depositphotos.com/4395427/66280/i/380/depositphotos_662804030-stock-photo-asian-woman-bad-eating-habits.jpg" TargetMode="External"/><Relationship Id="rId1788" Type="http://schemas.openxmlformats.org/officeDocument/2006/relationships/hyperlink" Target="https://media.istockphoto.com/id/1323332711/photo/a-very-busy-sydney-road-in-brunswick-in-the-early-evening-light.jpg?s=612x612&amp;w=0&amp;k=20&amp;c=CIiTSAHjBbZcQkKeQ3lKgEy7rK6WqbgHcS1dMBow1a4=" TargetMode="External"/><Relationship Id="rId1995" Type="http://schemas.openxmlformats.org/officeDocument/2006/relationships/hyperlink" Target="https://media.istockphoto.com/id/2171315695/photo/car-for-traveling-with-a-mountain-road.jpg?s=612x612&amp;w=0&amp;k=20&amp;c=4Sas1Ppp5J6KYGiJPRvlDonYGuTOVPmia0j4wmhkWN8=" TargetMode="External"/><Relationship Id="rId1648" Type="http://schemas.openxmlformats.org/officeDocument/2006/relationships/hyperlink" Target="https://www.waikatotimes.co.nz/media/images/9Tzi8ywRz924XE3uHaD6DZ3Ef+IdbOiYlvIROR5vlqUeRrexTocZGobKRJ9od%2Fgnk3B%2FCeKTmTAsIjj6Q0YaYb9O2YpAGpC3fY+e4MW+eL23rOfWHa1s5vawlRMxcPDGQhZHBI9zy+lJTa497PoX39Tfn7VlcMzs32LGzlfvJqg9ZIzYi8E4rNP+jifNZ3kVdn0QmCNAuGRHufJWuUQsOA==?resolution=620x350" TargetMode="External"/><Relationship Id="rId1508" Type="http://schemas.openxmlformats.org/officeDocument/2006/relationships/hyperlink" Target="https://media.istockphoto.com/id/690733780/photo/atlanta-skyline.jpg?s=612x612&amp;w=0&amp;k=20&amp;c=uFXzquNTl0noJH3clH6cYe3uzALjbqQHbRoqeGHAuCU=" TargetMode="External"/><Relationship Id="rId1855" Type="http://schemas.openxmlformats.org/officeDocument/2006/relationships/hyperlink" Target="https://media.istockphoto.com/id/2007939149/photo/small-work-van.jpg?s=612x612&amp;w=0&amp;k=20&amp;c=MeyzTHYOa4puQ2X3RbvQz-6XX8ATsMGAtlgOROLn-Lo=" TargetMode="External"/><Relationship Id="rId1715" Type="http://schemas.openxmlformats.org/officeDocument/2006/relationships/hyperlink" Target="https://media.gettyimages.com/id/1255452931/photo/automobiles-run-a-red-light-at-the-intersection-at-houston-avenue-and-memorial-drive-in.jpg?s=612x612&amp;w=gi&amp;k=20&amp;c=WzSC2ckV-TxEUcvrSy4UNqqLnci7pI81KeUjhKn3GCc=" TargetMode="External"/><Relationship Id="rId1922" Type="http://schemas.openxmlformats.org/officeDocument/2006/relationships/hyperlink" Target="https://compactequip.com/wp-content/uploads/2019/04/atlas-copco-qas-generator-easy-transport.jpg" TargetMode="External"/><Relationship Id="rId668" Type="http://schemas.openxmlformats.org/officeDocument/2006/relationships/hyperlink" Target="https://media.istockphoto.com/id/1069139482/photo/family-crossing-crosswalk-in-the-city.jpg?s=612x612&amp;w=0&amp;k=20&amp;c=ELSL13y8tNga1TwcTQsxiPPbod01qHEOF6iDswq53Ok=" TargetMode="External"/><Relationship Id="rId875" Type="http://schemas.openxmlformats.org/officeDocument/2006/relationships/hyperlink" Target="https://st3.depositphotos.com/1000471/15143/i/450/depositphotos_151433476-stock-photo-car-traffic-on-a-highway.jpg" TargetMode="External"/><Relationship Id="rId1298" Type="http://schemas.openxmlformats.org/officeDocument/2006/relationships/hyperlink" Target="https://st3.depositphotos.com/9773578/16580/i/380/depositphotos_165803016-stock-photo-dead-wallaby-roadkill-in-australia.jpg" TargetMode="External"/><Relationship Id="rId2349" Type="http://schemas.openxmlformats.org/officeDocument/2006/relationships/hyperlink" Target="https://images.unsplash.com/photo-1724044443584-ec54bd0f24c7?w=500&amp;auto=format&amp;fit=crop&amp;q=60&amp;ixlib=rb-4.1.0&amp;ixid=M3wxMjA3fDB8MHxwaG90by1yZWxhdGVkfDF8fHxlbnwwfHx8fHw%3D" TargetMode="External"/><Relationship Id="rId528" Type="http://schemas.openxmlformats.org/officeDocument/2006/relationships/hyperlink" Target="https://media.istockphoto.com/id/1553389979/photo/young-women-cross-the-road-at-pedestrian-crossing-in-modern-european-city.jpg?s=612x612&amp;w=0&amp;k=20&amp;c=ibdkOIekYFW-bB1abkTC6x1jUuK-TnPeQboi5-D5o9w=" TargetMode="External"/><Relationship Id="rId735" Type="http://schemas.openxmlformats.org/officeDocument/2006/relationships/hyperlink" Target="https://st3.depositphotos.com/16748900/32882/i/380/depositphotos_328820768-stock-photo-two-pedestrians-cross-road-jaywalk.jpg" TargetMode="External"/><Relationship Id="rId942" Type="http://schemas.openxmlformats.org/officeDocument/2006/relationships/hyperlink" Target="https://media.istockphoto.com/id/1206248128/photo/beautiful-asphalt-road-with-turns-through-the-schwarzwald-forest-in-germany.jpg?s=612x612&amp;w=0&amp;k=20&amp;c=GiEBX8vDCsZp80RgCTnMAmaGNbcGBXCviIGQysDnpsg=" TargetMode="External"/><Relationship Id="rId1158" Type="http://schemas.openxmlformats.org/officeDocument/2006/relationships/hyperlink" Target="https://media.istockphoto.com/id/969500140/photo/car-accident.jpg?s=612x612&amp;w=0&amp;k=20&amp;c=5cWFdm3PKaNVLwPQfrGcqvDqgl5SLc8AA38BP_XVPAI=" TargetMode="External"/><Relationship Id="rId1365" Type="http://schemas.openxmlformats.org/officeDocument/2006/relationships/hyperlink" Target="https://media.istockphoto.com/id/501774837/photo/family-driving-a-car.jpg?s=612x612&amp;w=0&amp;k=20&amp;c=yVisAxobciSYGry8SMFMo-Kt6UzNwYwzwhQAk3MUOFw=" TargetMode="External"/><Relationship Id="rId1572" Type="http://schemas.openxmlformats.org/officeDocument/2006/relationships/hyperlink" Target="https://media.istockphoto.com/id/866354212/photo/city-life.jpg?s=612x612&amp;w=0&amp;k=20&amp;c=-re3IHeoAuoojvLuvDkCYQTZoK_Nr3NjcY0eCt3Dy5Q=" TargetMode="External"/><Relationship Id="rId2209" Type="http://schemas.openxmlformats.org/officeDocument/2006/relationships/hyperlink" Target="https://media.istockphoto.com/id/1300549747/photo/mattress-on-car-roof-dacia-logan-carrying-mattresses-on-roof-in-bucharest-romania-2021.jpg?s=612x612&amp;w=0&amp;k=20&amp;c=vfIVDFnyWn_DNQ9DLOExrokzRfWlQyVAKmxblWQHOg0=" TargetMode="External"/><Relationship Id="rId1018" Type="http://schemas.openxmlformats.org/officeDocument/2006/relationships/hyperlink" Target="https://st5.depositphotos.com/56294224/66484/i/450/depositphotos_664843884-stock-photo-melbourne-victoria-australia-2019-aami.jpg" TargetMode="External"/><Relationship Id="rId1225" Type="http://schemas.openxmlformats.org/officeDocument/2006/relationships/hyperlink" Target="https://media.istockphoto.com/id/1776289528/photo/potholes-on-bad-asphalt-road-closeup.jpg?s=612x612&amp;w=0&amp;k=20&amp;c=1ChB5XXjK52dTOOPWXKawhvo_AsjZCfpTSdQ0DOWrOI=" TargetMode="External"/><Relationship Id="rId1432" Type="http://schemas.openxmlformats.org/officeDocument/2006/relationships/hyperlink" Target="https://live.staticflickr.com/65535/50195648326_7c5cf49544.jpg" TargetMode="External"/><Relationship Id="rId71" Type="http://schemas.openxmlformats.org/officeDocument/2006/relationships/hyperlink" Target="https://cdn.hswstatic.com/gif/driving-dogs-lap.jpg" TargetMode="External"/><Relationship Id="rId802" Type="http://schemas.openxmlformats.org/officeDocument/2006/relationships/hyperlink" Target="https://www.metro.us/wp-content/uploads/2020/03/4_Jaywalking_080116_DSC_9573_2016-Derek-Kouyoumjian_2-scaled.jpg?quality=51&amp;w=1200" TargetMode="External"/><Relationship Id="rId178" Type="http://schemas.openxmlformats.org/officeDocument/2006/relationships/hyperlink" Target="https://st3.depositphotos.com/1761743/16656/i/380/depositphotos_166565754-stock-photo-man-eating-an-hamburger-while.jpg" TargetMode="External"/><Relationship Id="rId385" Type="http://schemas.openxmlformats.org/officeDocument/2006/relationships/hyperlink" Target="https://media.istockphoto.com/id/1457298174/photo/citizens-crossing-crowded-zebra-wide-shot.jpg?s=612x612&amp;w=0&amp;k=20&amp;c=T5VpBcBqvmb0qm92Nd8r36AiS2ArCTtgvhPN3CrBi8Y=" TargetMode="External"/><Relationship Id="rId592" Type="http://schemas.openxmlformats.org/officeDocument/2006/relationships/hyperlink" Target="https://jbsolicitors.com.au/wp-content/uploads/2023/02/jaywalking-featured.jpg" TargetMode="External"/><Relationship Id="rId2066" Type="http://schemas.openxmlformats.org/officeDocument/2006/relationships/hyperlink" Target="https://cdn.pixabay.com/photo/2021/12/04/00/29/truck-6844140_640.jpg" TargetMode="External"/><Relationship Id="rId2273" Type="http://schemas.openxmlformats.org/officeDocument/2006/relationships/hyperlink" Target="https://st3.depositphotos.com/2047341/14695/i/450/depositphotos_146959423-stock-photo-the-mercato-market-of-addis.jpg" TargetMode="External"/><Relationship Id="rId245" Type="http://schemas.openxmlformats.org/officeDocument/2006/relationships/hyperlink" Target="https://st2.depositphotos.com/1735158/6602/i/380/depositphotos_66027449-stock-photo-girl-doing-make-up-while.jpg" TargetMode="External"/><Relationship Id="rId452" Type="http://schemas.openxmlformats.org/officeDocument/2006/relationships/hyperlink" Target="https://images.unsplash.com/photo-1624816804260-65ea43f9615e?w=500&amp;auto=format&amp;fit=crop&amp;q=60&amp;ixlib=rb-4.1.0&amp;ixid=M3wxMjA3fDB8MHxzZWFyY2h8N3x8cGVkZXN0cmlhbiUyMHdhbGtpbmd8ZW58MHx8MHx8fDA%3D" TargetMode="External"/><Relationship Id="rId1082" Type="http://schemas.openxmlformats.org/officeDocument/2006/relationships/hyperlink" Target="https://st.depositphotos.com/3041475/4225/i/380/depositphotos_42253593-stock-photo-earthquake.jpg" TargetMode="External"/><Relationship Id="rId2133" Type="http://schemas.openxmlformats.org/officeDocument/2006/relationships/hyperlink" Target="https://media.istockphoto.com/id/2156661569/photo/straw-transport-somewhere-in-the-central-part-of-morocco.jpg?s=612x612&amp;w=0&amp;k=20&amp;c=01yJ-5ZapNo3FquzD18eEh0H738o5Zv2nv51dYEMXGM=" TargetMode="External"/><Relationship Id="rId2340" Type="http://schemas.openxmlformats.org/officeDocument/2006/relationships/hyperlink" Target="https://encrypted-tbn0.gstatic.com/images?q=tbn:ANd9GcQqTx9COrIqbcEFQ9j6fnzqbv-uxiiqULGEzx2Lp5tBTLAfF0O6D5gEAdxl2ebobFCo3kU&amp;usqp=CAU" TargetMode="External"/><Relationship Id="rId105" Type="http://schemas.openxmlformats.org/officeDocument/2006/relationships/hyperlink" Target="https://encrypted-tbn0.gstatic.com/images?q=tbn:ANd9GcTmLs4VMbGPydxFkll6dkIaX7Q3RYUNiQok5qkr4Oay7j-E3tfS2Q2mAPA6sokR9AZ25YA&amp;usqp=CAU" TargetMode="External"/><Relationship Id="rId312" Type="http://schemas.openxmlformats.org/officeDocument/2006/relationships/hyperlink" Target="https://media.istockphoto.com/id/1207725287/photo/woman-with-mask-crossing-street.jpg?s=612x612&amp;w=0&amp;k=20&amp;c=mRwOSQJnl3sNw58Hp8UM9MMOqy4j6rZAv15w03yth5c=" TargetMode="External"/><Relationship Id="rId2200" Type="http://schemas.openxmlformats.org/officeDocument/2006/relationships/hyperlink" Target="https://st.depositphotos.com/8272416/59368/i/450/depositphotos_593680588-stock-photo-accra-ghana-april-2022-crowded.jpg" TargetMode="External"/><Relationship Id="rId1899" Type="http://schemas.openxmlformats.org/officeDocument/2006/relationships/hyperlink" Target="https://www.arrowheavyvehicletraining.com.au/wp-content/uploads/2020/04/safe-load-program.jpg" TargetMode="External"/><Relationship Id="rId1759" Type="http://schemas.openxmlformats.org/officeDocument/2006/relationships/hyperlink" Target="https://encrypted-tbn0.gstatic.com/images?q=tbn:ANd9GcStdyLZnMH5pHhy7AptoreqSuTJULO_9-8pjaJyvlY2wwmD6Q9lQkBs7wocmVv3TZjiEQM&amp;usqp=CAU" TargetMode="External"/><Relationship Id="rId1966" Type="http://schemas.openxmlformats.org/officeDocument/2006/relationships/hyperlink" Target="https://media.istockphoto.com/id/1352925342/photo/caravan-holiday.jpg?s=612x612&amp;w=0&amp;k=20&amp;c=Stjv3LUKRW5FASG4z0RxSI9WPIoJf5nVJ9gMiGAvRps=" TargetMode="External"/><Relationship Id="rId1619" Type="http://schemas.openxmlformats.org/officeDocument/2006/relationships/hyperlink" Target="https://encrypted-tbn0.gstatic.com/images?q=tbn:ANd9GcTjQPsH0MV0sjDARVsVSyZY9neors9H7iCfU6Cp3KfSPdIbvCaYcSY6nenIYNJPAyHlCUU&amp;usqp=CAU" TargetMode="External"/><Relationship Id="rId1826" Type="http://schemas.openxmlformats.org/officeDocument/2006/relationships/hyperlink" Target="https://encrypted-tbn0.gstatic.com/images?q=tbn:ANd9GcSR6-m078yd3P3x3WhP8eer3jUXlhmtIStk4nxEwy7omlXGF89KiST04t3GdgmvnxV6iUE&amp;usqp=CAU" TargetMode="External"/><Relationship Id="rId779" Type="http://schemas.openxmlformats.org/officeDocument/2006/relationships/hyperlink" Target="https://media.istockphoto.com/id/539243306/photo/cheerful-young-woman-standing-on-street-and-talking-at-phone.jpg?s=612x612&amp;w=0&amp;k=20&amp;c=lXkF2SFIouc_-uimeMmBvjsIR7_MFCHAveAaGZDutmQ=" TargetMode="External"/><Relationship Id="rId986" Type="http://schemas.openxmlformats.org/officeDocument/2006/relationships/hyperlink" Target="https://st4.depositphotos.com/1585997/23461/i/450/depositphotos_234614154-stock-photo-brisbane-dec-2018-brisbane-city.jpg" TargetMode="External"/><Relationship Id="rId639" Type="http://schemas.openxmlformats.org/officeDocument/2006/relationships/hyperlink" Target="https://toolkit.irap.org/wp-content/uploads/2022/02/Pedestrians-cross-a-busy-multilane-road-underneath-a-pedestrian-bridge-in-China.-Credit-iRAP-2-scaled.jpg" TargetMode="External"/><Relationship Id="rId1269" Type="http://schemas.openxmlformats.org/officeDocument/2006/relationships/hyperlink" Target="https://st2.depositphotos.com/3711911/12284/i/380/depositphotos_122844796-stock-photo-broken-traffic-light.jpg" TargetMode="External"/><Relationship Id="rId1476" Type="http://schemas.openxmlformats.org/officeDocument/2006/relationships/hyperlink" Target="https://images.unsplash.com/photo-1689049844247-667754e34cda?w=500&amp;auto=format&amp;fit=crop&amp;q=60&amp;ixlib=rb-4.1.0&amp;ixid=M3wxMjA3fDB8MHxzZWFyY2h8MTV8fGNhciUyMGF0JTIwcmVkJTIwbGlnaHR8ZW58MHx8MHx8fDA%3D" TargetMode="External"/><Relationship Id="rId846" Type="http://schemas.openxmlformats.org/officeDocument/2006/relationships/hyperlink" Target="https://st4.depositphotos.com/2843107/25659/i/450/depositphotos_256595566-stock-photo-australia-wa-perth.jpg" TargetMode="External"/><Relationship Id="rId1129" Type="http://schemas.openxmlformats.org/officeDocument/2006/relationships/hyperlink" Target="https://townsquare.media/site/677/files/2022/01/attachment-RS34883_GettyImages-498050908-scr.jpg?w=1200&amp;h=0&amp;zc=1&amp;s=0&amp;a=t&amp;q=89&amp;format=natural" TargetMode="External"/><Relationship Id="rId1683" Type="http://schemas.openxmlformats.org/officeDocument/2006/relationships/hyperlink" Target="https://media.istockphoto.com/id/458969983/photo/dangerous-overtaking.jpg?s=612x612&amp;w=0&amp;k=20&amp;c=1Mzsl3pX9ybmCRyY41FxpbLhFbBWc-2eqv4p-1aJ--0=" TargetMode="External"/><Relationship Id="rId1890" Type="http://schemas.openxmlformats.org/officeDocument/2006/relationships/hyperlink" Target="https://images.unsplash.com/photo-1706130578908-ffdf5ef1ae18?w=400&amp;auto=format&amp;fit=crop&amp;q=60&amp;ixlib=rb-4.1.0&amp;ixid=M3wxMjA3fDB8MHxwaG90by1yZWxhdGVkfDEwfHx8ZW58MHx8fHx8" TargetMode="External"/><Relationship Id="rId706" Type="http://schemas.openxmlformats.org/officeDocument/2006/relationships/hyperlink" Target="https://media.istockphoto.com/id/535338031/photo/using-mobile-telephone-while-crossing-a-road.jpg?s=612x612&amp;w=0&amp;k=20&amp;c=Uo40cc_OtWsUwK8FveCQljGKcTzLq8V5zPAJipLbc2M=" TargetMode="External"/><Relationship Id="rId913" Type="http://schemas.openxmlformats.org/officeDocument/2006/relationships/hyperlink" Target="https://media.istockphoto.com/id/2151065259/photo/a-view-along-high-street-northcote-from-an-area-called-the-westgarth-village-towards-ruckers.jpg?s=612x612&amp;w=0&amp;k=20&amp;c=5HT07wCCTtRj-V03Db8By3e85P2s4cMfgjfPzUM1-p4=" TargetMode="External"/><Relationship Id="rId1336" Type="http://schemas.openxmlformats.org/officeDocument/2006/relationships/hyperlink" Target="https://media.istockphoto.com/id/154919588/photo/road-and-flood.jpg?s=612x612&amp;w=0&amp;k=20&amp;c=q0Kiik8wDntv_P2sLL9Ic-r6yqF8um6ivzwZ-xW6rNc=" TargetMode="External"/><Relationship Id="rId1543" Type="http://schemas.openxmlformats.org/officeDocument/2006/relationships/hyperlink" Target="https://encrypted-tbn0.gstatic.com/images?q=tbn:ANd9GcR3kc5V_azgTbA15KeQX8MCCAEGSnKYVTi0dA&amp;s" TargetMode="External"/><Relationship Id="rId1750" Type="http://schemas.openxmlformats.org/officeDocument/2006/relationships/hyperlink" Target="https://encrypted-tbn0.gstatic.com/images?q=tbn:ANd9GcTjQPsH0MV0sjDARVsVSyZY9neors9H7iCfU6Cp3KfSPdIbvCaYcSY6nenIYNJPAyHlCUU&amp;usqp=CAU" TargetMode="External"/><Relationship Id="rId42" Type="http://schemas.openxmlformats.org/officeDocument/2006/relationships/hyperlink" Target="https://st4.depositphotos.com/1192060/38820/i/380/depositphotos_388208736-stock-photo-woman-applying-lipstick-while-driving.jpg" TargetMode="External"/><Relationship Id="rId1403" Type="http://schemas.openxmlformats.org/officeDocument/2006/relationships/hyperlink" Target="https://media.istockphoto.com/id/1663006730/photo/driving-at-dusk-stop-sign-red-traffic-lights-rear-view-of-car-waiting.jpg?s=1024x1024&amp;w=is&amp;k=20&amp;c=WCd5j9XkHG9CnVqq97obOA3My--tTGfo5wpYHjZAysU=" TargetMode="External"/><Relationship Id="rId1610" Type="http://schemas.openxmlformats.org/officeDocument/2006/relationships/hyperlink" Target="https://media.gettyimages.com/id/1255452931/photo/automobiles-run-a-red-light-at-the-intersection-at-houston-avenue-and-memorial-drive-in.jpg?s=612x612&amp;w=gi&amp;k=20&amp;c=WzSC2ckV-TxEUcvrSy4UNqqLnci7pI81KeUjhKn3GCc=" TargetMode="External"/><Relationship Id="rId289" Type="http://schemas.openxmlformats.org/officeDocument/2006/relationships/hyperlink" Target="https://media.istockphoto.com/id/877029722/photo/mom-texts-while-driving-with-child-in-the-backseat.jpg?s=612x612&amp;w=0&amp;k=20&amp;c=3ox2pF4drxmlDYNl1DhA-6Znk_Srj10trA3xMhtkI50=" TargetMode="External"/><Relationship Id="rId496" Type="http://schemas.openxmlformats.org/officeDocument/2006/relationships/hyperlink" Target="https://media.istockphoto.com/id/653967962/photo/schoolboy-crossing-a-road-on-his-morning-way-to-school.jpg?s=612x612&amp;w=0&amp;k=20&amp;c=5OQ6Z1-YFLEARfGtnw_TH1R7kV9Xn9TihAStFEX3Bms=" TargetMode="External"/><Relationship Id="rId2177" Type="http://schemas.openxmlformats.org/officeDocument/2006/relationships/hyperlink" Target="https://c8.alamy.com/comp/CXXWCW/overloaded-truck-on-the-road-to-mysore-india-CXXWCW.jpg" TargetMode="External"/><Relationship Id="rId149" Type="http://schemas.openxmlformats.org/officeDocument/2006/relationships/hyperlink" Target="https://images.pexels.com/photos/10466263/pexels-photo-10466263.jpeg" TargetMode="External"/><Relationship Id="rId356" Type="http://schemas.openxmlformats.org/officeDocument/2006/relationships/hyperlink" Target="https://c8.alamy.com/comp/B55NHF/cars-failing-to-stop-at-a-pedestrian-crossing-B55NHF.jpg" TargetMode="External"/><Relationship Id="rId563" Type="http://schemas.openxmlformats.org/officeDocument/2006/relationships/hyperlink" Target="https://media.istockphoto.com/id/1152269806/photo/low-angle-of-car-in-front-of-pedestrian-crossing-and-walking-boy-with-smartphone.jpg?s=612x612&amp;w=0&amp;k=20&amp;c=9SZeOADKBUdugkDrnp4ADca7oLmr4iujvhwH7oeW5SM=" TargetMode="External"/><Relationship Id="rId770" Type="http://schemas.openxmlformats.org/officeDocument/2006/relationships/hyperlink" Target="https://jbsolicitors.com.au/wp-content/uploads/2023/02/jaywalking-featured.jpg" TargetMode="External"/><Relationship Id="rId1193" Type="http://schemas.openxmlformats.org/officeDocument/2006/relationships/hyperlink" Target="https://media.istockphoto.com/id/930733334/photo/old-road-potholes-holes-outside-city-autumn-weather-hdr.jpg?s=612x612&amp;w=0&amp;k=20&amp;c=hjFYMud5QkAIMdIolTIUk42TKDp0_W3pW8F1rzFMAIo=" TargetMode="External"/><Relationship Id="rId2037" Type="http://schemas.openxmlformats.org/officeDocument/2006/relationships/hyperlink" Target="https://media.istockphoto.com/id/1282047643/photo/classic-big-rig-semi-truck-tractor-transporting-lumber-on-the-flat-bed-semi-trailer-moving-on.jpg?s=612x612&amp;w=0&amp;k=20&amp;c=vS4MX8uHpO3MGoGQRjW2dXjV0WIfcEIwo1uECc0hF54=" TargetMode="External"/><Relationship Id="rId2244" Type="http://schemas.openxmlformats.org/officeDocument/2006/relationships/hyperlink" Target="https://st3.depositphotos.com/1184024/17751/i/450/depositphotos_177512610-stock-photo-caravan-with-bicycles-and-cars.jpg" TargetMode="External"/><Relationship Id="rId216" Type="http://schemas.openxmlformats.org/officeDocument/2006/relationships/hyperlink" Target="https://st4.depositphotos.com/5675252/22612/i/380/depositphotos_226125066-stock-photo-man-eating-pizza-coffee-while.jpg" TargetMode="External"/><Relationship Id="rId423" Type="http://schemas.openxmlformats.org/officeDocument/2006/relationships/hyperlink" Target="https://media.istockphoto.com/id/1373732934/photo/hipster-teenage-urban-lifestyle-music-students-go-to-class-or-to-a-concert-concept-of.jpg?s=612x612&amp;w=0&amp;k=20&amp;c=nDZVdpbMObNQZLXfZ3D61DYaRgnqmlYKjDeei9B_iHI=" TargetMode="External"/><Relationship Id="rId1053" Type="http://schemas.openxmlformats.org/officeDocument/2006/relationships/hyperlink" Target="https://www.insuranceneighbor.com/wp-content/uploads/sites/2939/2019/12/Road-Hazard-Pothole.jpg" TargetMode="External"/><Relationship Id="rId1260" Type="http://schemas.openxmlformats.org/officeDocument/2006/relationships/hyperlink" Target="https://media.istockphoto.com/id/173845298/photo/crash.jpg?s=612x612&amp;w=0&amp;k=20&amp;c=uLdLReLUkAFEOkCy7p8n5nq0OOjAwqdP8g3vpltp8EQ=" TargetMode="External"/><Relationship Id="rId2104" Type="http://schemas.openxmlformats.org/officeDocument/2006/relationships/hyperlink" Target="https://st5.depositphotos.com/72897924/61726/i/450/depositphotos_617269340-stock-photo-african-people-street-senegal.jpg" TargetMode="External"/><Relationship Id="rId630" Type="http://schemas.openxmlformats.org/officeDocument/2006/relationships/hyperlink" Target="https://www.marietta-chiropractor.com/wp-content/uploads/sites/11/2022/09/Distracted-Walking.jpg" TargetMode="External"/><Relationship Id="rId2311" Type="http://schemas.openxmlformats.org/officeDocument/2006/relationships/hyperlink" Target="https://media.istockphoto.com/id/461952017/photo/hay-truck.jpg?s=612x612&amp;w=0&amp;k=20&amp;c=kF39O5A7Ds7Tnz2eBzTim4DLHgC5E1Qb9OCOvKPu3RA=" TargetMode="External"/><Relationship Id="rId1120" Type="http://schemas.openxmlformats.org/officeDocument/2006/relationships/hyperlink" Target="https://www.insuranceneighbor.com/wp-content/uploads/sites/2939/2019/12/Road-Hazard-Pothole.jpg" TargetMode="External"/><Relationship Id="rId1937" Type="http://schemas.openxmlformats.org/officeDocument/2006/relationships/hyperlink" Target="https://media.istockphoto.com/id/1057570312/photo/mountain-bicycle-fixed-with-roof-mounted-bike-carriers-instaled-on-white-auto-roof-travel.jpg?s=612x612&amp;w=0&amp;k=20&amp;c=Qp8Uy7bhjnY8uL6qaS4U3MDVRkqMwKW43rnrlRzJyuQ=" TargetMode="External"/><Relationship Id="rId280" Type="http://schemas.openxmlformats.org/officeDocument/2006/relationships/hyperlink" Target="https://images.pexels.com/photos/16352748/pexels-photo-16352748.jpeg" TargetMode="External"/><Relationship Id="rId140" Type="http://schemas.openxmlformats.org/officeDocument/2006/relationships/hyperlink" Target="https://st2.depositphotos.com/1662991/7158/i/380/depositphotos_71584357-stock-photo-couple-texting-and-driving.jpg" TargetMode="External"/><Relationship Id="rId6" Type="http://schemas.openxmlformats.org/officeDocument/2006/relationships/hyperlink" Target="https://media.istockphoto.com/id/2157480611/photo/mother-and-son-behind-the-wheel-of-the-vehicle-and-speed-face-transportation-and-family.jpg?s=1024x1024&amp;w=is&amp;k=20&amp;c=4FTXONZ1lRzx3lgQeb3SDCIGUYzprDQUe6PmXshTd1w=" TargetMode="External"/><Relationship Id="rId957" Type="http://schemas.openxmlformats.org/officeDocument/2006/relationships/hyperlink" Target="https://media.istockphoto.com/id/894541466/photo/paulista-avenue-sao-paulo-brazil.jpg?s=612x612&amp;w=0&amp;k=20&amp;c=g1P9DuGHTcrcvgP6MfVd37Ct-8g9ErwOqIALdkmcb2U=" TargetMode="External"/><Relationship Id="rId1587" Type="http://schemas.openxmlformats.org/officeDocument/2006/relationships/hyperlink" Target="https://media.istockphoto.com/id/1527434333/photo/roadside-parking-by-a-bicycle-lane.jpg?s=612x612&amp;w=0&amp;k=20&amp;c=w08Ba-JM0gdSk2tpOSU_oG5EAG4vuG-zNS2Log05x60=" TargetMode="External"/><Relationship Id="rId1794" Type="http://schemas.openxmlformats.org/officeDocument/2006/relationships/hyperlink" Target="https://encrypted-tbn0.gstatic.com/images?q=tbn:ANd9GcRmN6wQnfCTR9GVSXZn2lO1R4tC6evb76WNBQ&amp;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43C70-4C78-DB48-AB1D-3FCB034C7B94}">
  <sheetPr codeName="Sheet1"/>
  <dimension ref="A1:E2616"/>
  <sheetViews>
    <sheetView tabSelected="1" topLeftCell="A510" zoomScaleNormal="100" workbookViewId="0">
      <selection activeCell="G1075" sqref="G1075"/>
    </sheetView>
  </sheetViews>
  <sheetFormatPr defaultColWidth="11" defaultRowHeight="15.6" x14ac:dyDescent="0.3"/>
  <cols>
    <col min="1" max="1" width="16.09765625" customWidth="1"/>
    <col min="2" max="2" width="12.59765625" customWidth="1"/>
    <col min="3" max="3" width="22.59765625" customWidth="1"/>
    <col min="4" max="4" width="27.59765625" customWidth="1"/>
    <col min="5" max="5" width="28.5" customWidth="1"/>
  </cols>
  <sheetData>
    <row r="1" spans="1:5" ht="21.9" customHeight="1" x14ac:dyDescent="0.3">
      <c r="A1" s="3" t="s">
        <v>0</v>
      </c>
      <c r="B1" s="3" t="s">
        <v>1</v>
      </c>
      <c r="C1" s="3" t="s">
        <v>3</v>
      </c>
      <c r="D1" s="3" t="s">
        <v>2</v>
      </c>
      <c r="E1" s="3" t="s">
        <v>16</v>
      </c>
    </row>
    <row r="2" spans="1:5" x14ac:dyDescent="0.3">
      <c r="A2" t="s">
        <v>4</v>
      </c>
      <c r="B2" s="2" t="str">
        <f>HYPERLINK("https://d18hvbbehx7xaf.cloudfront.net/public/uploads/main/images/05-11-2023/6547b717c49a3.jpeg","Link")</f>
        <v>Link</v>
      </c>
      <c r="C2" t="s">
        <v>11</v>
      </c>
      <c r="D2" t="s">
        <v>5</v>
      </c>
      <c r="E2" t="s">
        <v>15</v>
      </c>
    </row>
    <row r="3" spans="1:5" x14ac:dyDescent="0.3">
      <c r="A3" t="s">
        <v>4</v>
      </c>
      <c r="B3" s="2" t="str">
        <f>HYPERLINK("https://d18hvbbehx7xaf.cloudfront.net/public/uploads/main/images/05-11-2023/6547b717c49a3.jpeg","Link")</f>
        <v>Link</v>
      </c>
      <c r="C3" t="s">
        <v>12</v>
      </c>
      <c r="D3" t="s">
        <v>6</v>
      </c>
      <c r="E3" t="s">
        <v>15</v>
      </c>
    </row>
    <row r="4" spans="1:5" x14ac:dyDescent="0.3">
      <c r="A4" t="s">
        <v>4</v>
      </c>
      <c r="B4" s="2" t="str">
        <f>HYPERLINK("https://d18hvbbehx7xaf.cloudfront.net/public/uploads/main/images/05-11-2023/6547b717c49a3.jpeg","Link")</f>
        <v>Link</v>
      </c>
      <c r="C4" t="s">
        <v>12</v>
      </c>
      <c r="D4" t="s">
        <v>7</v>
      </c>
      <c r="E4" t="s">
        <v>15</v>
      </c>
    </row>
    <row r="5" spans="1:5" x14ac:dyDescent="0.3">
      <c r="A5" t="s">
        <v>4</v>
      </c>
      <c r="B5" s="2" t="str">
        <f>HYPERLINK("https://d18hvbbehx7xaf.cloudfront.net/public/uploads/main/images/05-11-2023/6547b717c49a3.jpeg","Link")</f>
        <v>Link</v>
      </c>
      <c r="C5" t="s">
        <v>12</v>
      </c>
      <c r="D5" t="s">
        <v>8</v>
      </c>
      <c r="E5" t="s">
        <v>15</v>
      </c>
    </row>
    <row r="6" spans="1:5" x14ac:dyDescent="0.3">
      <c r="A6" t="s">
        <v>4</v>
      </c>
      <c r="B6" s="2" t="str">
        <f>HYPERLINK("https://d18hvbbehx7xaf.cloudfront.net/public/uploads/main/images/05-11-2023/6547b717c49a3.jpeg","Link")</f>
        <v>Link</v>
      </c>
      <c r="C6" t="s">
        <v>12</v>
      </c>
      <c r="D6" t="s">
        <v>9</v>
      </c>
      <c r="E6" t="s">
        <v>15</v>
      </c>
    </row>
    <row r="7" spans="1:5" x14ac:dyDescent="0.3">
      <c r="A7" t="s">
        <v>4</v>
      </c>
      <c r="B7" s="2" t="str">
        <f>HYPERLINK("https://www.safetyhub.com/wp-content/uploads/2020/05/safe-driving-at-work-safety-training-video-safetyhub-usa-canada.jpg","Link")</f>
        <v>Link</v>
      </c>
      <c r="C7" t="s">
        <v>11</v>
      </c>
      <c r="D7" t="s">
        <v>5</v>
      </c>
      <c r="E7" t="s">
        <v>15</v>
      </c>
    </row>
    <row r="8" spans="1:5" x14ac:dyDescent="0.3">
      <c r="A8" t="s">
        <v>4</v>
      </c>
      <c r="B8" s="2" t="str">
        <f>HYPERLINK("https://www.safetyhub.com/wp-content/uploads/2020/05/safe-driving-at-work-safety-training-video-safetyhub-usa-canada.jpg","Link")</f>
        <v>Link</v>
      </c>
      <c r="C8" t="s">
        <v>12</v>
      </c>
      <c r="D8" t="s">
        <v>6</v>
      </c>
      <c r="E8" t="s">
        <v>15</v>
      </c>
    </row>
    <row r="9" spans="1:5" x14ac:dyDescent="0.3">
      <c r="A9" t="s">
        <v>4</v>
      </c>
      <c r="B9" s="2" t="str">
        <f>HYPERLINK("https://www.safetyhub.com/wp-content/uploads/2020/05/safe-driving-at-work-safety-training-video-safetyhub-usa-canada.jpg","Link")</f>
        <v>Link</v>
      </c>
      <c r="C9" t="s">
        <v>12</v>
      </c>
      <c r="D9" t="s">
        <v>7</v>
      </c>
      <c r="E9" t="s">
        <v>15</v>
      </c>
    </row>
    <row r="10" spans="1:5" x14ac:dyDescent="0.3">
      <c r="A10" t="s">
        <v>4</v>
      </c>
      <c r="B10" s="2" t="str">
        <f>HYPERLINK("https://www.safetyhub.com/wp-content/uploads/2020/05/safe-driving-at-work-safety-training-video-safetyhub-usa-canada.jpg","Link")</f>
        <v>Link</v>
      </c>
      <c r="C10" t="s">
        <v>12</v>
      </c>
      <c r="D10" t="s">
        <v>8</v>
      </c>
      <c r="E10" t="s">
        <v>15</v>
      </c>
    </row>
    <row r="11" spans="1:5" x14ac:dyDescent="0.3">
      <c r="A11" t="s">
        <v>4</v>
      </c>
      <c r="B11" s="2" t="str">
        <f>HYPERLINK("https://www.safetyhub.com/wp-content/uploads/2020/05/safe-driving-at-work-safety-training-video-safetyhub-usa-canada.jpg","Link")</f>
        <v>Link</v>
      </c>
      <c r="C11" t="s">
        <v>12</v>
      </c>
      <c r="D11" t="s">
        <v>9</v>
      </c>
      <c r="E11" t="s">
        <v>15</v>
      </c>
    </row>
    <row r="12" spans="1:5" x14ac:dyDescent="0.3">
      <c r="A12" t="s">
        <v>4</v>
      </c>
      <c r="B12" s="2" t="str">
        <f>HYPERLINK("https://plus.unsplash.com/premium_photo-1661308330687-f50174a3ca60?fm=jpg&amp;q=60&amp;w=3000&amp;ixlib=rb-4.1.0&amp;ixid=M3wxMjA3fDB8MHxzZWFyY2h8MXx8c2FmZSUyMGRyaXZpbmd8ZW58MHx8MHx8fDA%3D","Link")</f>
        <v>Link</v>
      </c>
      <c r="C12" t="s">
        <v>11</v>
      </c>
      <c r="D12" t="s">
        <v>5</v>
      </c>
      <c r="E12" t="s">
        <v>15</v>
      </c>
    </row>
    <row r="13" spans="1:5" x14ac:dyDescent="0.3">
      <c r="A13" t="s">
        <v>4</v>
      </c>
      <c r="B13" s="2" t="str">
        <f>HYPERLINK("https://plus.unsplash.com/premium_photo-1661308330687-f50174a3ca60?fm=jpg&amp;q=60&amp;w=3000&amp;ixlib=rb-4.1.0&amp;ixid=M3wxMjA3fDB8MHxzZWFyY2h8MXx8c2FmZSUyMGRyaXZpbmd8ZW58MHx8MHx8fDA%3D","Link")</f>
        <v>Link</v>
      </c>
      <c r="C13" t="s">
        <v>12</v>
      </c>
      <c r="D13" t="s">
        <v>6</v>
      </c>
      <c r="E13" t="s">
        <v>15</v>
      </c>
    </row>
    <row r="14" spans="1:5" x14ac:dyDescent="0.3">
      <c r="A14" t="s">
        <v>4</v>
      </c>
      <c r="B14" s="2" t="str">
        <f>HYPERLINK("https://plus.unsplash.com/premium_photo-1661308330687-f50174a3ca60?fm=jpg&amp;q=60&amp;w=3000&amp;ixlib=rb-4.1.0&amp;ixid=M3wxMjA3fDB8MHxzZWFyY2h8MXx8c2FmZSUyMGRyaXZpbmd8ZW58MHx8MHx8fDA%3D","Link")</f>
        <v>Link</v>
      </c>
      <c r="C14" t="s">
        <v>12</v>
      </c>
      <c r="D14" t="s">
        <v>7</v>
      </c>
      <c r="E14" t="s">
        <v>15</v>
      </c>
    </row>
    <row r="15" spans="1:5" x14ac:dyDescent="0.3">
      <c r="A15" t="s">
        <v>4</v>
      </c>
      <c r="B15" s="2" t="str">
        <f>HYPERLINK("https://plus.unsplash.com/premium_photo-1661308330687-f50174a3ca60?fm=jpg&amp;q=60&amp;w=3000&amp;ixlib=rb-4.1.0&amp;ixid=M3wxMjA3fDB8MHxzZWFyY2h8MXx8c2FmZSUyMGRyaXZpbmd8ZW58MHx8MHx8fDA%3D","Link")</f>
        <v>Link</v>
      </c>
      <c r="C15" t="s">
        <v>12</v>
      </c>
      <c r="D15" t="s">
        <v>8</v>
      </c>
      <c r="E15" t="s">
        <v>15</v>
      </c>
    </row>
    <row r="16" spans="1:5" x14ac:dyDescent="0.3">
      <c r="A16" t="s">
        <v>4</v>
      </c>
      <c r="B16" s="2" t="str">
        <f>HYPERLINK("https://plus.unsplash.com/premium_photo-1661308330687-f50174a3ca60?fm=jpg&amp;q=60&amp;w=3000&amp;ixlib=rb-4.1.0&amp;ixid=M3wxMjA3fDB8MHxzZWFyY2h8MXx8c2FmZSUyMGRyaXZpbmd8ZW58MHx8MHx8fDA%3D","Link")</f>
        <v>Link</v>
      </c>
      <c r="C16" t="s">
        <v>12</v>
      </c>
      <c r="D16" t="s">
        <v>9</v>
      </c>
      <c r="E16" t="s">
        <v>15</v>
      </c>
    </row>
    <row r="17" spans="1:5" x14ac:dyDescent="0.3">
      <c r="A17" t="s">
        <v>4</v>
      </c>
      <c r="B17" s="2" t="str">
        <f>HYPERLINK("https://i.dailymail.co.uk/i/pix/2015/02/13/25A4DC2F00000578-0-image-a-39_1423840130641.jpg","Link")</f>
        <v>Link</v>
      </c>
      <c r="C17" t="s">
        <v>11</v>
      </c>
      <c r="D17" t="s">
        <v>5</v>
      </c>
      <c r="E17" t="s">
        <v>15</v>
      </c>
    </row>
    <row r="18" spans="1:5" x14ac:dyDescent="0.3">
      <c r="A18" t="s">
        <v>4</v>
      </c>
      <c r="B18" s="2" t="str">
        <f>HYPERLINK("https://i.dailymail.co.uk/i/pix/2015/02/13/25A4DC2F00000578-0-image-a-39_1423840130641.jpg","Link")</f>
        <v>Link</v>
      </c>
      <c r="C18" t="s">
        <v>12</v>
      </c>
      <c r="D18" t="s">
        <v>6</v>
      </c>
      <c r="E18" t="s">
        <v>15</v>
      </c>
    </row>
    <row r="19" spans="1:5" x14ac:dyDescent="0.3">
      <c r="A19" t="s">
        <v>4</v>
      </c>
      <c r="B19" s="2" t="str">
        <f>HYPERLINK("https://i.dailymail.co.uk/i/pix/2015/02/13/25A4DC2F00000578-0-image-a-39_1423840130641.jpg","Link")</f>
        <v>Link</v>
      </c>
      <c r="C19" t="s">
        <v>12</v>
      </c>
      <c r="D19" t="s">
        <v>7</v>
      </c>
      <c r="E19" t="s">
        <v>15</v>
      </c>
    </row>
    <row r="20" spans="1:5" x14ac:dyDescent="0.3">
      <c r="A20" t="s">
        <v>4</v>
      </c>
      <c r="B20" s="2" t="str">
        <f>HYPERLINK("https://i.dailymail.co.uk/i/pix/2015/02/13/25A4DC2F00000578-0-image-a-39_1423840130641.jpg","Link")</f>
        <v>Link</v>
      </c>
      <c r="C20" t="s">
        <v>12</v>
      </c>
      <c r="D20" t="s">
        <v>8</v>
      </c>
      <c r="E20" t="s">
        <v>15</v>
      </c>
    </row>
    <row r="21" spans="1:5" x14ac:dyDescent="0.3">
      <c r="A21" t="s">
        <v>4</v>
      </c>
      <c r="B21" s="2" t="str">
        <f>HYPERLINK("https://i.dailymail.co.uk/i/pix/2015/02/13/25A4DC2F00000578-0-image-a-39_1423840130641.jpg","Link")</f>
        <v>Link</v>
      </c>
      <c r="C21" t="s">
        <v>12</v>
      </c>
      <c r="D21" t="s">
        <v>9</v>
      </c>
      <c r="E21" t="s">
        <v>15</v>
      </c>
    </row>
    <row r="22" spans="1:5" x14ac:dyDescent="0.3">
      <c r="A22" t="s">
        <v>4</v>
      </c>
      <c r="B22" s="2" t="str">
        <f>HYPERLINK("https://www.nsw.gov.au/sites/default/files/styles/_medium/public/2021-06/tfnsw-vehicle-safety-driving%20posture.jpg?itok=1YYLsisY","Link")</f>
        <v>Link</v>
      </c>
      <c r="C22" t="s">
        <v>11</v>
      </c>
      <c r="D22" t="s">
        <v>5</v>
      </c>
      <c r="E22" t="s">
        <v>15</v>
      </c>
    </row>
    <row r="23" spans="1:5" x14ac:dyDescent="0.3">
      <c r="A23" t="s">
        <v>4</v>
      </c>
      <c r="B23" s="1" t="str">
        <f>HYPERLINK("https://www.nsw.gov.au/sites/default/files/styles/_medium/public/2021-06/tfnsw-vehicle-safety-driving%20posture.jpg?itok=1YYLsisY","Link")</f>
        <v>Link</v>
      </c>
      <c r="C23" t="s">
        <v>12</v>
      </c>
      <c r="D23" t="s">
        <v>6</v>
      </c>
      <c r="E23" t="s">
        <v>15</v>
      </c>
    </row>
    <row r="24" spans="1:5" x14ac:dyDescent="0.3">
      <c r="A24" t="s">
        <v>4</v>
      </c>
      <c r="B24" s="1" t="str">
        <f>HYPERLINK("https://www.nsw.gov.au/sites/default/files/styles/_medium/public/2021-06/tfnsw-vehicle-safety-driving%20posture.jpg?itok=1YYLsisY","Link")</f>
        <v>Link</v>
      </c>
      <c r="C24" t="s">
        <v>12</v>
      </c>
      <c r="D24" t="s">
        <v>7</v>
      </c>
      <c r="E24" t="s">
        <v>15</v>
      </c>
    </row>
    <row r="25" spans="1:5" x14ac:dyDescent="0.3">
      <c r="A25" t="s">
        <v>4</v>
      </c>
      <c r="B25" s="1" t="str">
        <f>HYPERLINK("https://www.nsw.gov.au/sites/default/files/styles/_medium/public/2021-06/tfnsw-vehicle-safety-driving%20posture.jpg?itok=1YYLsisY","Link")</f>
        <v>Link</v>
      </c>
      <c r="C25" t="s">
        <v>12</v>
      </c>
      <c r="D25" t="s">
        <v>8</v>
      </c>
      <c r="E25" t="s">
        <v>15</v>
      </c>
    </row>
    <row r="26" spans="1:5" x14ac:dyDescent="0.3">
      <c r="A26" t="s">
        <v>4</v>
      </c>
      <c r="B26" s="1" t="str">
        <f>HYPERLINK("https://www.nsw.gov.au/sites/default/files/styles/_medium/public/2021-06/tfnsw-vehicle-safety-driving%20posture.jpg?itok=1YYLsisY","Link")</f>
        <v>Link</v>
      </c>
      <c r="C26" t="s">
        <v>12</v>
      </c>
      <c r="D26" t="s">
        <v>9</v>
      </c>
      <c r="E26" t="s">
        <v>15</v>
      </c>
    </row>
    <row r="27" spans="1:5" x14ac:dyDescent="0.3">
      <c r="A27" t="s">
        <v>4</v>
      </c>
      <c r="B27" s="1" t="str">
        <f>HYPERLINK("https://www.essentialhealthplus.com.au/wp-content/uploads/2017/07/6919188a-e870-4f0c-899e-99c744d41f80-1080x675.jpg","Link")</f>
        <v>Link</v>
      </c>
      <c r="C27" t="s">
        <v>11</v>
      </c>
      <c r="D27" t="s">
        <v>5</v>
      </c>
      <c r="E27" t="s">
        <v>15</v>
      </c>
    </row>
    <row r="28" spans="1:5" x14ac:dyDescent="0.3">
      <c r="A28" t="s">
        <v>4</v>
      </c>
      <c r="B28" s="1" t="str">
        <f>HYPERLINK("https://www.essentialhealthplus.com.au/wp-content/uploads/2017/07/6919188a-e870-4f0c-899e-99c744d41f80-1080x675.jpg","Link")</f>
        <v>Link</v>
      </c>
      <c r="C28" t="s">
        <v>12</v>
      </c>
      <c r="D28" t="s">
        <v>6</v>
      </c>
      <c r="E28" t="s">
        <v>15</v>
      </c>
    </row>
    <row r="29" spans="1:5" x14ac:dyDescent="0.3">
      <c r="A29" t="s">
        <v>4</v>
      </c>
      <c r="B29" s="1" t="str">
        <f>HYPERLINK("https://www.essentialhealthplus.com.au/wp-content/uploads/2017/07/6919188a-e870-4f0c-899e-99c744d41f80-1080x675.jpg","Link")</f>
        <v>Link</v>
      </c>
      <c r="C29" t="s">
        <v>12</v>
      </c>
      <c r="D29" t="s">
        <v>7</v>
      </c>
      <c r="E29" t="s">
        <v>15</v>
      </c>
    </row>
    <row r="30" spans="1:5" x14ac:dyDescent="0.3">
      <c r="A30" t="s">
        <v>4</v>
      </c>
      <c r="B30" s="1" t="str">
        <f>HYPERLINK("https://www.essentialhealthplus.com.au/wp-content/uploads/2017/07/6919188a-e870-4f0c-899e-99c744d41f80-1080x675.jpg","Link")</f>
        <v>Link</v>
      </c>
      <c r="C30" t="s">
        <v>12</v>
      </c>
      <c r="D30" t="s">
        <v>8</v>
      </c>
      <c r="E30" t="s">
        <v>15</v>
      </c>
    </row>
    <row r="31" spans="1:5" x14ac:dyDescent="0.3">
      <c r="A31" t="s">
        <v>4</v>
      </c>
      <c r="B31" s="1" t="str">
        <f>HYPERLINK("https://www.essentialhealthplus.com.au/wp-content/uploads/2017/07/6919188a-e870-4f0c-899e-99c744d41f80-1080x675.jpg","Link")</f>
        <v>Link</v>
      </c>
      <c r="C31" t="s">
        <v>12</v>
      </c>
      <c r="D31" t="s">
        <v>9</v>
      </c>
      <c r="E31" t="s">
        <v>15</v>
      </c>
    </row>
    <row r="32" spans="1:5" x14ac:dyDescent="0.3">
      <c r="A32" t="s">
        <v>4</v>
      </c>
      <c r="B32" s="1" t="str">
        <f>HYPERLINK("https://driversdrift.com/wp-content/uploads/2024/12/Beautiful-young-happy-smiling-woman-driving-her-new-car-at-sunset.jpg","Link")</f>
        <v>Link</v>
      </c>
      <c r="C32" t="s">
        <v>11</v>
      </c>
      <c r="D32" t="s">
        <v>5</v>
      </c>
      <c r="E32" t="s">
        <v>15</v>
      </c>
    </row>
    <row r="33" spans="1:5" x14ac:dyDescent="0.3">
      <c r="A33" t="s">
        <v>4</v>
      </c>
      <c r="B33" s="1" t="str">
        <f>HYPERLINK("https://driversdrift.com/wp-content/uploads/2024/12/Beautiful-young-happy-smiling-woman-driving-her-new-car-at-sunset.jpg","Link")</f>
        <v>Link</v>
      </c>
      <c r="C33" t="s">
        <v>12</v>
      </c>
      <c r="D33" t="s">
        <v>6</v>
      </c>
      <c r="E33" t="s">
        <v>15</v>
      </c>
    </row>
    <row r="34" spans="1:5" x14ac:dyDescent="0.3">
      <c r="A34" t="s">
        <v>4</v>
      </c>
      <c r="B34" s="1" t="str">
        <f>HYPERLINK("https://driversdrift.com/wp-content/uploads/2024/12/Beautiful-young-happy-smiling-woman-driving-her-new-car-at-sunset.jpg","Link")</f>
        <v>Link</v>
      </c>
      <c r="C34" t="s">
        <v>12</v>
      </c>
      <c r="D34" t="s">
        <v>7</v>
      </c>
      <c r="E34" t="s">
        <v>15</v>
      </c>
    </row>
    <row r="35" spans="1:5" x14ac:dyDescent="0.3">
      <c r="A35" t="s">
        <v>4</v>
      </c>
      <c r="B35" s="1" t="str">
        <f>HYPERLINK("https://driversdrift.com/wp-content/uploads/2024/12/Beautiful-young-happy-smiling-woman-driving-her-new-car-at-sunset.jpg","Link")</f>
        <v>Link</v>
      </c>
      <c r="C35" t="s">
        <v>12</v>
      </c>
      <c r="D35" t="s">
        <v>8</v>
      </c>
      <c r="E35" t="s">
        <v>15</v>
      </c>
    </row>
    <row r="36" spans="1:5" x14ac:dyDescent="0.3">
      <c r="A36" t="s">
        <v>4</v>
      </c>
      <c r="B36" s="1" t="str">
        <f>HYPERLINK("https://driversdrift.com/wp-content/uploads/2024/12/Beautiful-young-happy-smiling-woman-driving-her-new-car-at-sunset.jpg","Link")</f>
        <v>Link</v>
      </c>
      <c r="C36" t="s">
        <v>12</v>
      </c>
      <c r="D36" t="s">
        <v>9</v>
      </c>
      <c r="E36" t="s">
        <v>15</v>
      </c>
    </row>
    <row r="37" spans="1:5" x14ac:dyDescent="0.3">
      <c r="A37" t="s">
        <v>4</v>
      </c>
      <c r="B37" s="1" t="str">
        <f>HYPERLINK("https://cdn.prod.website-files.com/5e7fdf360c4ef47490fa4124/6171cb0cf9c636590b73dd7b_0002503.jpg","Link")</f>
        <v>Link</v>
      </c>
      <c r="C37" t="s">
        <v>11</v>
      </c>
      <c r="D37" t="s">
        <v>5</v>
      </c>
      <c r="E37" t="s">
        <v>15</v>
      </c>
    </row>
    <row r="38" spans="1:5" x14ac:dyDescent="0.3">
      <c r="A38" t="s">
        <v>4</v>
      </c>
      <c r="B38" s="1" t="str">
        <f>HYPERLINK("https://cdn.prod.website-files.com/5e7fdf360c4ef47490fa4124/6171cb0cf9c636590b73dd7b_0002503.jpg","Link")</f>
        <v>Link</v>
      </c>
      <c r="C38" t="s">
        <v>12</v>
      </c>
      <c r="D38" t="s">
        <v>6</v>
      </c>
      <c r="E38" t="s">
        <v>15</v>
      </c>
    </row>
    <row r="39" spans="1:5" x14ac:dyDescent="0.3">
      <c r="A39" t="s">
        <v>4</v>
      </c>
      <c r="B39" s="1" t="str">
        <f>HYPERLINK("https://cdn.prod.website-files.com/5e7fdf360c4ef47490fa4124/6171cb0cf9c636590b73dd7b_0002503.jpg","Link")</f>
        <v>Link</v>
      </c>
      <c r="C39" t="s">
        <v>12</v>
      </c>
      <c r="D39" t="s">
        <v>7</v>
      </c>
      <c r="E39" t="s">
        <v>15</v>
      </c>
    </row>
    <row r="40" spans="1:5" x14ac:dyDescent="0.3">
      <c r="A40" t="s">
        <v>4</v>
      </c>
      <c r="B40" s="1" t="str">
        <f>HYPERLINK("https://cdn.prod.website-files.com/5e7fdf360c4ef47490fa4124/6171cb0cf9c636590b73dd7b_0002503.jpg","Link")</f>
        <v>Link</v>
      </c>
      <c r="C40" t="s">
        <v>12</v>
      </c>
      <c r="D40" t="s">
        <v>8</v>
      </c>
      <c r="E40" t="s">
        <v>15</v>
      </c>
    </row>
    <row r="41" spans="1:5" x14ac:dyDescent="0.3">
      <c r="A41" t="s">
        <v>4</v>
      </c>
      <c r="B41" s="1" t="str">
        <f>HYPERLINK("https://cdn.prod.website-files.com/5e7fdf360c4ef47490fa4124/6171cb0cf9c636590b73dd7b_0002503.jpg","Link")</f>
        <v>Link</v>
      </c>
      <c r="C41" t="s">
        <v>12</v>
      </c>
      <c r="D41" t="s">
        <v>9</v>
      </c>
      <c r="E41" t="s">
        <v>15</v>
      </c>
    </row>
    <row r="42" spans="1:5" x14ac:dyDescent="0.3">
      <c r="A42" t="s">
        <v>4</v>
      </c>
      <c r="B42" s="1" t="str">
        <f>HYPERLINK("https://images.cdn.autocar.co.uk/sites/autocar.co.uk/files/images/car-reviews/first-drives/legacy/st-group-test-ac-2015-003.jpg","Link")</f>
        <v>Link</v>
      </c>
      <c r="C42" t="s">
        <v>11</v>
      </c>
      <c r="D42" t="s">
        <v>5</v>
      </c>
      <c r="E42" t="s">
        <v>15</v>
      </c>
    </row>
    <row r="43" spans="1:5" x14ac:dyDescent="0.3">
      <c r="A43" t="s">
        <v>4</v>
      </c>
      <c r="B43" s="1" t="str">
        <f>HYPERLINK("https://images.cdn.autocar.co.uk/sites/autocar.co.uk/files/images/car-reviews/first-drives/legacy/st-group-test-ac-2015-003.jpg","Link")</f>
        <v>Link</v>
      </c>
      <c r="C43" t="s">
        <v>12</v>
      </c>
      <c r="D43" t="s">
        <v>6</v>
      </c>
      <c r="E43" t="s">
        <v>15</v>
      </c>
    </row>
    <row r="44" spans="1:5" x14ac:dyDescent="0.3">
      <c r="A44" t="s">
        <v>4</v>
      </c>
      <c r="B44" s="1" t="str">
        <f>HYPERLINK("https://images.cdn.autocar.co.uk/sites/autocar.co.uk/files/images/car-reviews/first-drives/legacy/st-group-test-ac-2015-003.jpg","Link")</f>
        <v>Link</v>
      </c>
      <c r="C44" t="s">
        <v>14</v>
      </c>
      <c r="D44" t="s">
        <v>7</v>
      </c>
      <c r="E44" t="s">
        <v>15</v>
      </c>
    </row>
    <row r="45" spans="1:5" x14ac:dyDescent="0.3">
      <c r="A45" t="s">
        <v>4</v>
      </c>
      <c r="B45" s="1" t="str">
        <f>HYPERLINK("https://images.cdn.autocar.co.uk/sites/autocar.co.uk/files/images/car-reviews/first-drives/legacy/st-group-test-ac-2015-003.jpg","Link")</f>
        <v>Link</v>
      </c>
      <c r="C45" t="s">
        <v>14</v>
      </c>
      <c r="D45" t="s">
        <v>8</v>
      </c>
      <c r="E45" t="s">
        <v>15</v>
      </c>
    </row>
    <row r="46" spans="1:5" x14ac:dyDescent="0.3">
      <c r="A46" t="s">
        <v>4</v>
      </c>
      <c r="B46" s="1" t="str">
        <f>HYPERLINK("https://images.cdn.autocar.co.uk/sites/autocar.co.uk/files/images/car-reviews/first-drives/legacy/st-group-test-ac-2015-003.jpg","Link")</f>
        <v>Link</v>
      </c>
      <c r="C46" t="s">
        <v>12</v>
      </c>
      <c r="D46" t="s">
        <v>9</v>
      </c>
      <c r="E46" t="s">
        <v>15</v>
      </c>
    </row>
    <row r="47" spans="1:5" x14ac:dyDescent="0.3">
      <c r="A47" t="s">
        <v>4</v>
      </c>
      <c r="B47" s="1" t="str">
        <f>HYPERLINK("https://www.ltrent.com.au/wp-content/uploads/2025/03/driving-instruction-young-woman-learns-drive-car-first-time-scaled-1-1024x683.jpg","Link")</f>
        <v>Link</v>
      </c>
      <c r="C47" t="s">
        <v>11</v>
      </c>
      <c r="D47" t="s">
        <v>5</v>
      </c>
      <c r="E47" t="s">
        <v>15</v>
      </c>
    </row>
    <row r="48" spans="1:5" x14ac:dyDescent="0.3">
      <c r="A48" t="s">
        <v>4</v>
      </c>
      <c r="B48" s="1" t="str">
        <f>HYPERLINK("https://www.ltrent.com.au/wp-content/uploads/2025/03/driving-instruction-young-woman-learns-drive-car-first-time-scaled-1-1024x683.jpg","Link")</f>
        <v>Link</v>
      </c>
      <c r="C48" t="s">
        <v>12</v>
      </c>
      <c r="D48" t="s">
        <v>6</v>
      </c>
      <c r="E48" t="s">
        <v>15</v>
      </c>
    </row>
    <row r="49" spans="1:5" x14ac:dyDescent="0.3">
      <c r="A49" t="s">
        <v>4</v>
      </c>
      <c r="B49" s="1" t="str">
        <f>HYPERLINK("https://www.ltrent.com.au/wp-content/uploads/2025/03/driving-instruction-young-woman-learns-drive-car-first-time-scaled-1-1024x683.jpg","Link")</f>
        <v>Link</v>
      </c>
      <c r="C49" t="s">
        <v>12</v>
      </c>
      <c r="D49" t="s">
        <v>7</v>
      </c>
      <c r="E49" t="s">
        <v>15</v>
      </c>
    </row>
    <row r="50" spans="1:5" x14ac:dyDescent="0.3">
      <c r="A50" t="s">
        <v>4</v>
      </c>
      <c r="B50" s="1" t="str">
        <f>HYPERLINK("https://www.ltrent.com.au/wp-content/uploads/2025/03/driving-instruction-young-woman-learns-drive-car-first-time-scaled-1-1024x683.jpg","Link")</f>
        <v>Link</v>
      </c>
      <c r="C50" t="s">
        <v>12</v>
      </c>
      <c r="D50" t="s">
        <v>8</v>
      </c>
      <c r="E50" t="s">
        <v>15</v>
      </c>
    </row>
    <row r="51" spans="1:5" x14ac:dyDescent="0.3">
      <c r="A51" t="s">
        <v>4</v>
      </c>
      <c r="B51" s="1" t="str">
        <f>HYPERLINK("https://www.ltrent.com.au/wp-content/uploads/2025/03/driving-instruction-young-woman-learns-drive-car-first-time-scaled-1-1024x683.jpg","Link")</f>
        <v>Link</v>
      </c>
      <c r="C51" t="s">
        <v>12</v>
      </c>
      <c r="D51" t="s">
        <v>9</v>
      </c>
      <c r="E51" t="s">
        <v>15</v>
      </c>
    </row>
    <row r="52" spans="1:5" x14ac:dyDescent="0.3">
      <c r="A52" t="s">
        <v>4</v>
      </c>
      <c r="B52" s="1" t="str">
        <f>HYPERLINK("https://media.istockphoto.com/id/1595870882/photo/stylish-woman-driving-a-car.jpg?s=612x612&amp;w=0&amp;k=20&amp;c=d99SbtjMB_wO5Rgj_RaTDPKZs4ncHXfAJwqY-SBluto=","Link")</f>
        <v>Link</v>
      </c>
      <c r="C52" t="s">
        <v>11</v>
      </c>
      <c r="D52" t="s">
        <v>5</v>
      </c>
      <c r="E52" t="s">
        <v>15</v>
      </c>
    </row>
    <row r="53" spans="1:5" x14ac:dyDescent="0.3">
      <c r="A53" t="s">
        <v>4</v>
      </c>
      <c r="B53" s="1" t="str">
        <f>HYPERLINK("https://media.istockphoto.com/id/1595870882/photo/stylish-woman-driving-a-car.jpg?s=612x612&amp;w=0&amp;k=20&amp;c=d99SbtjMB_wO5Rgj_RaTDPKZs4ncHXfAJwqY-SBluto=","Link")</f>
        <v>Link</v>
      </c>
      <c r="C53" t="s">
        <v>12</v>
      </c>
      <c r="D53" t="s">
        <v>6</v>
      </c>
      <c r="E53" t="s">
        <v>15</v>
      </c>
    </row>
    <row r="54" spans="1:5" x14ac:dyDescent="0.3">
      <c r="A54" t="s">
        <v>4</v>
      </c>
      <c r="B54" s="1" t="str">
        <f>HYPERLINK("https://media.istockphoto.com/id/1595870882/photo/stylish-woman-driving-a-car.jpg?s=612x612&amp;w=0&amp;k=20&amp;c=d99SbtjMB_wO5Rgj_RaTDPKZs4ncHXfAJwqY-SBluto=","Link")</f>
        <v>Link</v>
      </c>
      <c r="C54" t="s">
        <v>12</v>
      </c>
      <c r="D54" t="s">
        <v>7</v>
      </c>
      <c r="E54" t="s">
        <v>15</v>
      </c>
    </row>
    <row r="55" spans="1:5" x14ac:dyDescent="0.3">
      <c r="A55" t="s">
        <v>4</v>
      </c>
      <c r="B55" s="1" t="str">
        <f>HYPERLINK("https://media.istockphoto.com/id/1595870882/photo/stylish-woman-driving-a-car.jpg?s=612x612&amp;w=0&amp;k=20&amp;c=d99SbtjMB_wO5Rgj_RaTDPKZs4ncHXfAJwqY-SBluto=","Link")</f>
        <v>Link</v>
      </c>
      <c r="C55" t="s">
        <v>12</v>
      </c>
      <c r="D55" t="s">
        <v>8</v>
      </c>
      <c r="E55" t="s">
        <v>15</v>
      </c>
    </row>
    <row r="56" spans="1:5" x14ac:dyDescent="0.3">
      <c r="A56" t="s">
        <v>4</v>
      </c>
      <c r="B56" s="1" t="str">
        <f>HYPERLINK("https://media.istockphoto.com/id/1595870882/photo/stylish-woman-driving-a-car.jpg?s=612x612&amp;w=0&amp;k=20&amp;c=d99SbtjMB_wO5Rgj_RaTDPKZs4ncHXfAJwqY-SBluto=","Link")</f>
        <v>Link</v>
      </c>
      <c r="C56" t="s">
        <v>12</v>
      </c>
      <c r="D56" t="s">
        <v>9</v>
      </c>
      <c r="E56" t="s">
        <v>15</v>
      </c>
    </row>
    <row r="57" spans="1:5" x14ac:dyDescent="0.3">
      <c r="A57" t="s">
        <v>4</v>
      </c>
      <c r="B57" s="1" t="str">
        <f>HYPERLINK("https://media.istockphoto.com/id/1964203344/photo/portrait-of-a-father-driving-a-new-car-while-riding-with-his-family.jpg?s=612x612&amp;w=0&amp;k=20&amp;c=SnW6T7cGObBKVbO53Gl252sl3m3y5m2jqeSxcJ3kiYk=","Link")</f>
        <v>Link</v>
      </c>
      <c r="C57" t="s">
        <v>11</v>
      </c>
      <c r="D57" t="s">
        <v>5</v>
      </c>
      <c r="E57" t="s">
        <v>15</v>
      </c>
    </row>
    <row r="58" spans="1:5" x14ac:dyDescent="0.3">
      <c r="A58" t="s">
        <v>4</v>
      </c>
      <c r="B58" s="1" t="str">
        <f>HYPERLINK("https://media.istockphoto.com/id/1964203344/photo/portrait-of-a-father-driving-a-new-car-while-riding-with-his-family.jpg?s=612x612&amp;w=0&amp;k=20&amp;c=SnW6T7cGObBKVbO53Gl252sl3m3y5m2jqeSxcJ3kiYk=","Link")</f>
        <v>Link</v>
      </c>
      <c r="C58" t="s">
        <v>12</v>
      </c>
      <c r="D58" t="s">
        <v>6</v>
      </c>
      <c r="E58" t="s">
        <v>15</v>
      </c>
    </row>
    <row r="59" spans="1:5" x14ac:dyDescent="0.3">
      <c r="A59" t="s">
        <v>4</v>
      </c>
      <c r="B59" s="1" t="str">
        <f>HYPERLINK("https://media.istockphoto.com/id/1964203344/photo/portrait-of-a-father-driving-a-new-car-while-riding-with-his-family.jpg?s=612x612&amp;w=0&amp;k=20&amp;c=SnW6T7cGObBKVbO53Gl252sl3m3y5m2jqeSxcJ3kiYk=","Link")</f>
        <v>Link</v>
      </c>
      <c r="C59" t="s">
        <v>12</v>
      </c>
      <c r="D59" t="s">
        <v>7</v>
      </c>
      <c r="E59" t="s">
        <v>15</v>
      </c>
    </row>
    <row r="60" spans="1:5" x14ac:dyDescent="0.3">
      <c r="A60" t="s">
        <v>4</v>
      </c>
      <c r="B60" s="1" t="str">
        <f>HYPERLINK("https://media.istockphoto.com/id/1964203344/photo/portrait-of-a-father-driving-a-new-car-while-riding-with-his-family.jpg?s=612x612&amp;w=0&amp;k=20&amp;c=SnW6T7cGObBKVbO53Gl252sl3m3y5m2jqeSxcJ3kiYk=","Link")</f>
        <v>Link</v>
      </c>
      <c r="C60" t="s">
        <v>12</v>
      </c>
      <c r="D60" t="s">
        <v>8</v>
      </c>
      <c r="E60" t="s">
        <v>15</v>
      </c>
    </row>
    <row r="61" spans="1:5" x14ac:dyDescent="0.3">
      <c r="A61" t="s">
        <v>4</v>
      </c>
      <c r="B61" s="1" t="str">
        <f>HYPERLINK("https://media.istockphoto.com/id/1964203344/photo/portrait-of-a-father-driving-a-new-car-while-riding-with-his-family.jpg?s=612x612&amp;w=0&amp;k=20&amp;c=SnW6T7cGObBKVbO53Gl252sl3m3y5m2jqeSxcJ3kiYk=","Link")</f>
        <v>Link</v>
      </c>
      <c r="C61" t="s">
        <v>12</v>
      </c>
      <c r="D61" t="s">
        <v>9</v>
      </c>
      <c r="E61" t="s">
        <v>15</v>
      </c>
    </row>
    <row r="62" spans="1:5" x14ac:dyDescent="0.3">
      <c r="A62" t="s">
        <v>4</v>
      </c>
      <c r="B62" s="1" t="str">
        <f>HYPERLINK("https://media.istockphoto.com/id/1582802930/photo/happy-man-driving-his-car.jpg?s=612x612&amp;w=0&amp;k=20&amp;c=DC_5lCEay1nJPd7kXqleftuEnj_V9KuXG9TyIN4LZhg=","Link")</f>
        <v>Link</v>
      </c>
      <c r="C62" t="s">
        <v>11</v>
      </c>
      <c r="D62" t="s">
        <v>5</v>
      </c>
      <c r="E62" t="s">
        <v>15</v>
      </c>
    </row>
    <row r="63" spans="1:5" x14ac:dyDescent="0.3">
      <c r="A63" t="s">
        <v>4</v>
      </c>
      <c r="B63" s="1" t="str">
        <f>HYPERLINK("https://media.istockphoto.com/id/1582802930/photo/happy-man-driving-his-car.jpg?s=612x612&amp;w=0&amp;k=20&amp;c=DC_5lCEay1nJPd7kXqleftuEnj_V9KuXG9TyIN4LZhg=","Link")</f>
        <v>Link</v>
      </c>
      <c r="C63" t="s">
        <v>12</v>
      </c>
      <c r="D63" t="s">
        <v>6</v>
      </c>
      <c r="E63" t="s">
        <v>15</v>
      </c>
    </row>
    <row r="64" spans="1:5" x14ac:dyDescent="0.3">
      <c r="A64" t="s">
        <v>4</v>
      </c>
      <c r="B64" s="1" t="str">
        <f>HYPERLINK("https://media.istockphoto.com/id/1582802930/photo/happy-man-driving-his-car.jpg?s=612x612&amp;w=0&amp;k=20&amp;c=DC_5lCEay1nJPd7kXqleftuEnj_V9KuXG9TyIN4LZhg=","Link")</f>
        <v>Link</v>
      </c>
      <c r="C64" t="s">
        <v>12</v>
      </c>
      <c r="D64" t="s">
        <v>7</v>
      </c>
      <c r="E64" t="s">
        <v>15</v>
      </c>
    </row>
    <row r="65" spans="1:5" x14ac:dyDescent="0.3">
      <c r="A65" t="s">
        <v>4</v>
      </c>
      <c r="B65" s="1" t="str">
        <f>HYPERLINK("https://media.istockphoto.com/id/1582802930/photo/happy-man-driving-his-car.jpg?s=612x612&amp;w=0&amp;k=20&amp;c=DC_5lCEay1nJPd7kXqleftuEnj_V9KuXG9TyIN4LZhg=","Link")</f>
        <v>Link</v>
      </c>
      <c r="C65" t="s">
        <v>12</v>
      </c>
      <c r="D65" t="s">
        <v>8</v>
      </c>
      <c r="E65" t="s">
        <v>15</v>
      </c>
    </row>
    <row r="66" spans="1:5" x14ac:dyDescent="0.3">
      <c r="A66" t="s">
        <v>4</v>
      </c>
      <c r="B66" s="1" t="str">
        <f>HYPERLINK("https://media.istockphoto.com/id/1582802930/photo/happy-man-driving-his-car.jpg?s=612x612&amp;w=0&amp;k=20&amp;c=DC_5lCEay1nJPd7kXqleftuEnj_V9KuXG9TyIN4LZhg=","Link")</f>
        <v>Link</v>
      </c>
      <c r="C66" t="s">
        <v>12</v>
      </c>
      <c r="D66" t="s">
        <v>9</v>
      </c>
      <c r="E66" t="s">
        <v>15</v>
      </c>
    </row>
    <row r="67" spans="1:5" x14ac:dyDescent="0.3">
      <c r="A67" t="s">
        <v>4</v>
      </c>
      <c r="B67" s="1" t="str">
        <f>HYPERLINK("https://media.istockphoto.com/id/1386036075/photo/smiling-businessman-driving-his-car.jpg?s=612x612&amp;w=0&amp;k=20&amp;c=ZtK7LH5WycXTkJeynWeT7hvzj7Z-V9MdcZAMr2WkALw=","Link")</f>
        <v>Link</v>
      </c>
      <c r="C67" t="s">
        <v>11</v>
      </c>
      <c r="D67" t="s">
        <v>5</v>
      </c>
      <c r="E67" t="s">
        <v>15</v>
      </c>
    </row>
    <row r="68" spans="1:5" x14ac:dyDescent="0.3">
      <c r="A68" t="s">
        <v>4</v>
      </c>
      <c r="B68" s="1" t="str">
        <f>HYPERLINK("https://media.istockphoto.com/id/1386036075/photo/smiling-businessman-driving-his-car.jpg?s=612x612&amp;w=0&amp;k=20&amp;c=ZtK7LH5WycXTkJeynWeT7hvzj7Z-V9MdcZAMr2WkALw=","Link")</f>
        <v>Link</v>
      </c>
      <c r="C68" t="s">
        <v>12</v>
      </c>
      <c r="D68" t="s">
        <v>6</v>
      </c>
      <c r="E68" t="s">
        <v>15</v>
      </c>
    </row>
    <row r="69" spans="1:5" x14ac:dyDescent="0.3">
      <c r="A69" t="s">
        <v>4</v>
      </c>
      <c r="B69" s="1" t="str">
        <f>HYPERLINK("https://media.istockphoto.com/id/1386036075/photo/smiling-businessman-driving-his-car.jpg?s=612x612&amp;w=0&amp;k=20&amp;c=ZtK7LH5WycXTkJeynWeT7hvzj7Z-V9MdcZAMr2WkALw=","Link")</f>
        <v>Link</v>
      </c>
      <c r="C69" t="s">
        <v>12</v>
      </c>
      <c r="D69" t="s">
        <v>7</v>
      </c>
      <c r="E69" t="s">
        <v>15</v>
      </c>
    </row>
    <row r="70" spans="1:5" x14ac:dyDescent="0.3">
      <c r="A70" t="s">
        <v>4</v>
      </c>
      <c r="B70" s="1" t="str">
        <f>HYPERLINK("https://media.istockphoto.com/id/1386036075/photo/smiling-businessman-driving-his-car.jpg?s=612x612&amp;w=0&amp;k=20&amp;c=ZtK7LH5WycXTkJeynWeT7hvzj7Z-V9MdcZAMr2WkALw=","Link")</f>
        <v>Link</v>
      </c>
      <c r="C70" t="s">
        <v>12</v>
      </c>
      <c r="D70" t="s">
        <v>8</v>
      </c>
      <c r="E70" t="s">
        <v>15</v>
      </c>
    </row>
    <row r="71" spans="1:5" x14ac:dyDescent="0.3">
      <c r="A71" t="s">
        <v>4</v>
      </c>
      <c r="B71" s="1" t="str">
        <f>HYPERLINK("https://media.istockphoto.com/id/1386036075/photo/smiling-businessman-driving-his-car.jpg?s=612x612&amp;w=0&amp;k=20&amp;c=ZtK7LH5WycXTkJeynWeT7hvzj7Z-V9MdcZAMr2WkALw=","Link")</f>
        <v>Link</v>
      </c>
      <c r="C71" t="s">
        <v>12</v>
      </c>
      <c r="D71" t="s">
        <v>9</v>
      </c>
      <c r="E71" t="s">
        <v>15</v>
      </c>
    </row>
    <row r="72" spans="1:5" x14ac:dyDescent="0.3">
      <c r="A72" t="s">
        <v>4</v>
      </c>
      <c r="B72" s="1" t="str">
        <f>HYPERLINK("https://media.istockphoto.com/id/1413761196/photo/happy-mature-man-driving-car.jpg?s=612x612&amp;w=0&amp;k=20&amp;c=cHortB6t2CuIicx-UzOiq2jyfXufja9vETTN9dmThG4=","Link")</f>
        <v>Link</v>
      </c>
      <c r="C72" t="s">
        <v>11</v>
      </c>
      <c r="D72" t="s">
        <v>5</v>
      </c>
      <c r="E72" t="s">
        <v>15</v>
      </c>
    </row>
    <row r="73" spans="1:5" x14ac:dyDescent="0.3">
      <c r="A73" t="s">
        <v>4</v>
      </c>
      <c r="B73" s="1" t="str">
        <f>HYPERLINK("https://media.istockphoto.com/id/1413761196/photo/happy-mature-man-driving-car.jpg?s=612x612&amp;w=0&amp;k=20&amp;c=cHortB6t2CuIicx-UzOiq2jyfXufja9vETTN9dmThG4=","Link")</f>
        <v>Link</v>
      </c>
      <c r="C73" t="s">
        <v>12</v>
      </c>
      <c r="D73" t="s">
        <v>6</v>
      </c>
      <c r="E73" t="s">
        <v>15</v>
      </c>
    </row>
    <row r="74" spans="1:5" x14ac:dyDescent="0.3">
      <c r="A74" t="s">
        <v>4</v>
      </c>
      <c r="B74" s="1" t="str">
        <f>HYPERLINK("https://media.istockphoto.com/id/1413761196/photo/happy-mature-man-driving-car.jpg?s=612x612&amp;w=0&amp;k=20&amp;c=cHortB6t2CuIicx-UzOiq2jyfXufja9vETTN9dmThG4=","Link")</f>
        <v>Link</v>
      </c>
      <c r="C74" t="s">
        <v>12</v>
      </c>
      <c r="D74" t="s">
        <v>7</v>
      </c>
      <c r="E74" t="s">
        <v>15</v>
      </c>
    </row>
    <row r="75" spans="1:5" x14ac:dyDescent="0.3">
      <c r="A75" t="s">
        <v>4</v>
      </c>
      <c r="B75" s="1" t="str">
        <f>HYPERLINK("https://media.istockphoto.com/id/1413761196/photo/happy-mature-man-driving-car.jpg?s=612x612&amp;w=0&amp;k=20&amp;c=cHortB6t2CuIicx-UzOiq2jyfXufja9vETTN9dmThG4=","Link")</f>
        <v>Link</v>
      </c>
      <c r="C75" t="s">
        <v>12</v>
      </c>
      <c r="D75" t="s">
        <v>8</v>
      </c>
      <c r="E75" t="s">
        <v>15</v>
      </c>
    </row>
    <row r="76" spans="1:5" x14ac:dyDescent="0.3">
      <c r="A76" t="s">
        <v>4</v>
      </c>
      <c r="B76" s="1" t="str">
        <f>HYPERLINK("https://media.istockphoto.com/id/1413761196/photo/happy-mature-man-driving-car.jpg?s=612x612&amp;w=0&amp;k=20&amp;c=cHortB6t2CuIicx-UzOiq2jyfXufja9vETTN9dmThG4=","Link")</f>
        <v>Link</v>
      </c>
      <c r="C76" t="s">
        <v>12</v>
      </c>
      <c r="D76" t="s">
        <v>9</v>
      </c>
      <c r="E76" t="s">
        <v>15</v>
      </c>
    </row>
    <row r="77" spans="1:5" x14ac:dyDescent="0.3">
      <c r="A77" t="s">
        <v>4</v>
      </c>
      <c r="B77" s="1" t="str">
        <f>HYPERLINK("https://media.istockphoto.com/id/1155392792/photo/young-woman-driving-car-on-a-sunny-day.jpg?s=612x612&amp;w=0&amp;k=20&amp;c=L6g-H0T5ldbMX5JUtug2AsoVRYzt7w5q9TUEPSQCu84=","Link")</f>
        <v>Link</v>
      </c>
      <c r="C77" t="s">
        <v>11</v>
      </c>
      <c r="D77" t="s">
        <v>5</v>
      </c>
      <c r="E77" t="s">
        <v>15</v>
      </c>
    </row>
    <row r="78" spans="1:5" x14ac:dyDescent="0.3">
      <c r="A78" t="s">
        <v>4</v>
      </c>
      <c r="B78" s="1" t="str">
        <f>HYPERLINK("https://media.istockphoto.com/id/1155392792/photo/young-woman-driving-car-on-a-sunny-day.jpg?s=612x612&amp;w=0&amp;k=20&amp;c=L6g-H0T5ldbMX5JUtug2AsoVRYzt7w5q9TUEPSQCu84=","Link")</f>
        <v>Link</v>
      </c>
      <c r="C78" t="s">
        <v>12</v>
      </c>
      <c r="D78" t="s">
        <v>6</v>
      </c>
      <c r="E78" t="s">
        <v>15</v>
      </c>
    </row>
    <row r="79" spans="1:5" x14ac:dyDescent="0.3">
      <c r="A79" t="s">
        <v>4</v>
      </c>
      <c r="B79" s="1" t="str">
        <f>HYPERLINK("https://media.istockphoto.com/id/1155392792/photo/young-woman-driving-car-on-a-sunny-day.jpg?s=612x612&amp;w=0&amp;k=20&amp;c=L6g-H0T5ldbMX5JUtug2AsoVRYzt7w5q9TUEPSQCu84=","Link")</f>
        <v>Link</v>
      </c>
      <c r="C79" t="s">
        <v>12</v>
      </c>
      <c r="D79" t="s">
        <v>7</v>
      </c>
      <c r="E79" t="s">
        <v>15</v>
      </c>
    </row>
    <row r="80" spans="1:5" x14ac:dyDescent="0.3">
      <c r="A80" t="s">
        <v>4</v>
      </c>
      <c r="B80" s="1" t="str">
        <f>HYPERLINK("https://media.istockphoto.com/id/1155392792/photo/young-woman-driving-car-on-a-sunny-day.jpg?s=612x612&amp;w=0&amp;k=20&amp;c=L6g-H0T5ldbMX5JUtug2AsoVRYzt7w5q9TUEPSQCu84=","Link")</f>
        <v>Link</v>
      </c>
      <c r="C80" t="s">
        <v>12</v>
      </c>
      <c r="D80" t="s">
        <v>8</v>
      </c>
      <c r="E80" t="s">
        <v>15</v>
      </c>
    </row>
    <row r="81" spans="1:5" x14ac:dyDescent="0.3">
      <c r="A81" t="s">
        <v>4</v>
      </c>
      <c r="B81" s="1" t="str">
        <f>HYPERLINK("https://media.istockphoto.com/id/1155392792/photo/young-woman-driving-car-on-a-sunny-day.jpg?s=612x612&amp;w=0&amp;k=20&amp;c=L6g-H0T5ldbMX5JUtug2AsoVRYzt7w5q9TUEPSQCu84=","Link")</f>
        <v>Link</v>
      </c>
      <c r="C81" t="s">
        <v>12</v>
      </c>
      <c r="D81" t="s">
        <v>9</v>
      </c>
      <c r="E81" t="s">
        <v>15</v>
      </c>
    </row>
    <row r="82" spans="1:5" x14ac:dyDescent="0.3">
      <c r="A82" t="s">
        <v>4</v>
      </c>
      <c r="B82" s="1" t="str">
        <f>HYPERLINK("https://media.istockphoto.com/id/2169109477/photo/mom-driving-son-to-school-in-car-for-back-to-school-season.jpg?s=612x612&amp;w=0&amp;k=20&amp;c=UzVK2YcM17gC90xWqjyGs17AFPoHg460Y1A93jwItNw=","Link")</f>
        <v>Link</v>
      </c>
      <c r="C82" t="s">
        <v>11</v>
      </c>
      <c r="D82" t="s">
        <v>5</v>
      </c>
      <c r="E82" t="s">
        <v>15</v>
      </c>
    </row>
    <row r="83" spans="1:5" x14ac:dyDescent="0.3">
      <c r="A83" t="s">
        <v>4</v>
      </c>
      <c r="B83" s="1" t="str">
        <f>HYPERLINK("https://media.istockphoto.com/id/2169109477/photo/mom-driving-son-to-school-in-car-for-back-to-school-season.jpg?s=612x612&amp;w=0&amp;k=20&amp;c=UzVK2YcM17gC90xWqjyGs17AFPoHg460Y1A93jwItNw=","Link")</f>
        <v>Link</v>
      </c>
      <c r="C83" t="s">
        <v>12</v>
      </c>
      <c r="D83" t="s">
        <v>6</v>
      </c>
      <c r="E83" t="s">
        <v>15</v>
      </c>
    </row>
    <row r="84" spans="1:5" x14ac:dyDescent="0.3">
      <c r="A84" t="s">
        <v>4</v>
      </c>
      <c r="B84" s="1" t="str">
        <f>HYPERLINK("https://media.istockphoto.com/id/2169109477/photo/mom-driving-son-to-school-in-car-for-back-to-school-season.jpg?s=612x612&amp;w=0&amp;k=20&amp;c=UzVK2YcM17gC90xWqjyGs17AFPoHg460Y1A93jwItNw=","Link")</f>
        <v>Link</v>
      </c>
      <c r="C84" t="s">
        <v>12</v>
      </c>
      <c r="D84" t="s">
        <v>7</v>
      </c>
      <c r="E84" t="s">
        <v>15</v>
      </c>
    </row>
    <row r="85" spans="1:5" x14ac:dyDescent="0.3">
      <c r="A85" t="s">
        <v>4</v>
      </c>
      <c r="B85" s="1" t="str">
        <f>HYPERLINK("https://media.istockphoto.com/id/2169109477/photo/mom-driving-son-to-school-in-car-for-back-to-school-season.jpg?s=612x612&amp;w=0&amp;k=20&amp;c=UzVK2YcM17gC90xWqjyGs17AFPoHg460Y1A93jwItNw=","Link")</f>
        <v>Link</v>
      </c>
      <c r="C85" t="s">
        <v>12</v>
      </c>
      <c r="D85" t="s">
        <v>8</v>
      </c>
      <c r="E85" t="s">
        <v>15</v>
      </c>
    </row>
    <row r="86" spans="1:5" x14ac:dyDescent="0.3">
      <c r="A86" t="s">
        <v>4</v>
      </c>
      <c r="B86" s="1" t="str">
        <f>HYPERLINK("https://media.istockphoto.com/id/2169109477/photo/mom-driving-son-to-school-in-car-for-back-to-school-season.jpg?s=612x612&amp;w=0&amp;k=20&amp;c=UzVK2YcM17gC90xWqjyGs17AFPoHg460Y1A93jwItNw=","Link")</f>
        <v>Link</v>
      </c>
      <c r="C86" t="s">
        <v>12</v>
      </c>
      <c r="D86" t="s">
        <v>9</v>
      </c>
      <c r="E86" t="s">
        <v>15</v>
      </c>
    </row>
    <row r="87" spans="1:5" x14ac:dyDescent="0.3">
      <c r="A87" t="s">
        <v>4</v>
      </c>
      <c r="B87" s="1" t="str">
        <f>HYPERLINK("https://media.istockphoto.com/id/1448400431/photo/happy-businesswoman-driving-car.jpg?s=612x612&amp;w=0&amp;k=20&amp;c=_S2mDpqDw9v4puzJi5j1wT76eMZNo4jZG-nr1ExPumg=","Link")</f>
        <v>Link</v>
      </c>
      <c r="C87" t="s">
        <v>11</v>
      </c>
      <c r="D87" t="s">
        <v>5</v>
      </c>
      <c r="E87" t="s">
        <v>15</v>
      </c>
    </row>
    <row r="88" spans="1:5" x14ac:dyDescent="0.3">
      <c r="A88" t="s">
        <v>4</v>
      </c>
      <c r="B88" s="1" t="str">
        <f>HYPERLINK("https://media.istockphoto.com/id/1448400431/photo/happy-businesswoman-driving-car.jpg?s=612x612&amp;w=0&amp;k=20&amp;c=_S2mDpqDw9v4puzJi5j1wT76eMZNo4jZG-nr1ExPumg=","Link")</f>
        <v>Link</v>
      </c>
      <c r="C88" t="s">
        <v>12</v>
      </c>
      <c r="D88" t="s">
        <v>6</v>
      </c>
      <c r="E88" t="s">
        <v>15</v>
      </c>
    </row>
    <row r="89" spans="1:5" x14ac:dyDescent="0.3">
      <c r="A89" t="s">
        <v>4</v>
      </c>
      <c r="B89" s="1" t="str">
        <f>HYPERLINK("https://media.istockphoto.com/id/1448400431/photo/happy-businesswoman-driving-car.jpg?s=612x612&amp;w=0&amp;k=20&amp;c=_S2mDpqDw9v4puzJi5j1wT76eMZNo4jZG-nr1ExPumg=","Link")</f>
        <v>Link</v>
      </c>
      <c r="C89" t="s">
        <v>12</v>
      </c>
      <c r="D89" t="s">
        <v>7</v>
      </c>
      <c r="E89" t="s">
        <v>15</v>
      </c>
    </row>
    <row r="90" spans="1:5" x14ac:dyDescent="0.3">
      <c r="A90" t="s">
        <v>4</v>
      </c>
      <c r="B90" s="1" t="str">
        <f>HYPERLINK("https://media.istockphoto.com/id/1448400431/photo/happy-businesswoman-driving-car.jpg?s=612x612&amp;w=0&amp;k=20&amp;c=_S2mDpqDw9v4puzJi5j1wT76eMZNo4jZG-nr1ExPumg=","Link")</f>
        <v>Link</v>
      </c>
      <c r="C90" t="s">
        <v>12</v>
      </c>
      <c r="D90" t="s">
        <v>8</v>
      </c>
      <c r="E90" t="s">
        <v>15</v>
      </c>
    </row>
    <row r="91" spans="1:5" x14ac:dyDescent="0.3">
      <c r="A91" t="s">
        <v>4</v>
      </c>
      <c r="B91" s="1" t="str">
        <f>HYPERLINK("https://media.istockphoto.com/id/1448400431/photo/happy-businesswoman-driving-car.jpg?s=612x612&amp;w=0&amp;k=20&amp;c=_S2mDpqDw9v4puzJi5j1wT76eMZNo4jZG-nr1ExPumg=","Link")</f>
        <v>Link</v>
      </c>
      <c r="C91" t="s">
        <v>12</v>
      </c>
      <c r="D91" t="s">
        <v>9</v>
      </c>
      <c r="E91" t="s">
        <v>15</v>
      </c>
    </row>
    <row r="92" spans="1:5" x14ac:dyDescent="0.3">
      <c r="A92" t="s">
        <v>4</v>
      </c>
      <c r="B92" s="1" t="str">
        <f>HYPERLINK("https://media.istockphoto.com/id/1462530927/photo/contented-driver.jpg?s=612x612&amp;w=0&amp;k=20&amp;c=s73PZa7y_biM6tHPvDT8CnC2SpzRkdi9WJKGkU0W5HY=","Link")</f>
        <v>Link</v>
      </c>
      <c r="C92" t="s">
        <v>11</v>
      </c>
      <c r="D92" t="s">
        <v>5</v>
      </c>
      <c r="E92" t="s">
        <v>15</v>
      </c>
    </row>
    <row r="93" spans="1:5" x14ac:dyDescent="0.3">
      <c r="A93" t="s">
        <v>4</v>
      </c>
      <c r="B93" s="1" t="str">
        <f>HYPERLINK("https://media.istockphoto.com/id/1462530927/photo/contented-driver.jpg?s=612x612&amp;w=0&amp;k=20&amp;c=s73PZa7y_biM6tHPvDT8CnC2SpzRkdi9WJKGkU0W5HY=","Link")</f>
        <v>Link</v>
      </c>
      <c r="C93" t="s">
        <v>12</v>
      </c>
      <c r="D93" t="s">
        <v>6</v>
      </c>
      <c r="E93" t="s">
        <v>15</v>
      </c>
    </row>
    <row r="94" spans="1:5" x14ac:dyDescent="0.3">
      <c r="A94" t="s">
        <v>4</v>
      </c>
      <c r="B94" s="1" t="str">
        <f>HYPERLINK("https://media.istockphoto.com/id/1462530927/photo/contented-driver.jpg?s=612x612&amp;w=0&amp;k=20&amp;c=s73PZa7y_biM6tHPvDT8CnC2SpzRkdi9WJKGkU0W5HY=","Link")</f>
        <v>Link</v>
      </c>
      <c r="C94" t="s">
        <v>12</v>
      </c>
      <c r="D94" t="s">
        <v>7</v>
      </c>
      <c r="E94" t="s">
        <v>15</v>
      </c>
    </row>
    <row r="95" spans="1:5" x14ac:dyDescent="0.3">
      <c r="A95" t="s">
        <v>4</v>
      </c>
      <c r="B95" s="1" t="str">
        <f>HYPERLINK("https://media.istockphoto.com/id/1462530927/photo/contented-driver.jpg?s=612x612&amp;w=0&amp;k=20&amp;c=s73PZa7y_biM6tHPvDT8CnC2SpzRkdi9WJKGkU0W5HY=","Link")</f>
        <v>Link</v>
      </c>
      <c r="C95" t="s">
        <v>12</v>
      </c>
      <c r="D95" t="s">
        <v>8</v>
      </c>
      <c r="E95" t="s">
        <v>15</v>
      </c>
    </row>
    <row r="96" spans="1:5" x14ac:dyDescent="0.3">
      <c r="A96" t="s">
        <v>4</v>
      </c>
      <c r="B96" s="1" t="str">
        <f>HYPERLINK("https://media.istockphoto.com/id/1462530927/photo/contented-driver.jpg?s=612x612&amp;w=0&amp;k=20&amp;c=s73PZa7y_biM6tHPvDT8CnC2SpzRkdi9WJKGkU0W5HY=","Link")</f>
        <v>Link</v>
      </c>
      <c r="C96" t="s">
        <v>12</v>
      </c>
      <c r="D96" t="s">
        <v>9</v>
      </c>
      <c r="E96" t="s">
        <v>15</v>
      </c>
    </row>
    <row r="97" spans="1:5" x14ac:dyDescent="0.3">
      <c r="A97" t="s">
        <v>4</v>
      </c>
      <c r="B97" s="1" t="str">
        <f>HYPERLINK("https://media.istockphoto.com/id/1440223434/photo/road-trip.jpg?s=612x612&amp;w=0&amp;k=20&amp;c=_XamnOkloZsSgqM115A1ARYTT7VsJS8j4tAEMCLlnds=","Link")</f>
        <v>Link</v>
      </c>
      <c r="C97" t="s">
        <v>11</v>
      </c>
      <c r="D97" t="s">
        <v>5</v>
      </c>
      <c r="E97" t="s">
        <v>15</v>
      </c>
    </row>
    <row r="98" spans="1:5" x14ac:dyDescent="0.3">
      <c r="A98" t="s">
        <v>4</v>
      </c>
      <c r="B98" s="1" t="str">
        <f>HYPERLINK("https://media.istockphoto.com/id/1440223434/photo/road-trip.jpg?s=612x612&amp;w=0&amp;k=20&amp;c=_XamnOkloZsSgqM115A1ARYTT7VsJS8j4tAEMCLlnds=","Link")</f>
        <v>Link</v>
      </c>
      <c r="C98" t="s">
        <v>12</v>
      </c>
      <c r="D98" t="s">
        <v>6</v>
      </c>
      <c r="E98" t="s">
        <v>15</v>
      </c>
    </row>
    <row r="99" spans="1:5" x14ac:dyDescent="0.3">
      <c r="A99" t="s">
        <v>4</v>
      </c>
      <c r="B99" s="1" t="str">
        <f>HYPERLINK("https://media.istockphoto.com/id/1440223434/photo/road-trip.jpg?s=612x612&amp;w=0&amp;k=20&amp;c=_XamnOkloZsSgqM115A1ARYTT7VsJS8j4tAEMCLlnds=","Link")</f>
        <v>Link</v>
      </c>
      <c r="C99" t="s">
        <v>12</v>
      </c>
      <c r="D99" t="s">
        <v>7</v>
      </c>
      <c r="E99" t="s">
        <v>15</v>
      </c>
    </row>
    <row r="100" spans="1:5" x14ac:dyDescent="0.3">
      <c r="A100" t="s">
        <v>4</v>
      </c>
      <c r="B100" s="1" t="str">
        <f>HYPERLINK("https://media.istockphoto.com/id/1440223434/photo/road-trip.jpg?s=612x612&amp;w=0&amp;k=20&amp;c=_XamnOkloZsSgqM115A1ARYTT7VsJS8j4tAEMCLlnds=","Link")</f>
        <v>Link</v>
      </c>
      <c r="C100" t="s">
        <v>12</v>
      </c>
      <c r="D100" t="s">
        <v>8</v>
      </c>
      <c r="E100" t="s">
        <v>15</v>
      </c>
    </row>
    <row r="101" spans="1:5" x14ac:dyDescent="0.3">
      <c r="A101" t="s">
        <v>4</v>
      </c>
      <c r="B101" s="1" t="str">
        <f>HYPERLINK("https://media.istockphoto.com/id/1440223434/photo/road-trip.jpg?s=612x612&amp;w=0&amp;k=20&amp;c=_XamnOkloZsSgqM115A1ARYTT7VsJS8j4tAEMCLlnds=","Link")</f>
        <v>Link</v>
      </c>
      <c r="C101" t="s">
        <v>12</v>
      </c>
      <c r="D101" t="s">
        <v>9</v>
      </c>
      <c r="E101" t="s">
        <v>15</v>
      </c>
    </row>
    <row r="102" spans="1:5" x14ac:dyDescent="0.3">
      <c r="A102" t="s">
        <v>4</v>
      </c>
      <c r="B102" s="1" t="str">
        <f>HYPERLINK("https://media.istockphoto.com/id/1473502313/photo/portrait-of-a-mature-male-driver-in-the-car.jpg?s=612x612&amp;w=0&amp;k=20&amp;c=lod3yAj5Scr_PR2EmRes42u9doF2AInwLiwQwg_p56c=","Link")</f>
        <v>Link</v>
      </c>
      <c r="C102" t="s">
        <v>11</v>
      </c>
      <c r="D102" t="s">
        <v>5</v>
      </c>
      <c r="E102" t="s">
        <v>15</v>
      </c>
    </row>
    <row r="103" spans="1:5" x14ac:dyDescent="0.3">
      <c r="A103" t="s">
        <v>4</v>
      </c>
      <c r="B103" s="1" t="str">
        <f>HYPERLINK("https://media.istockphoto.com/id/1473502313/photo/portrait-of-a-mature-male-driver-in-the-car.jpg?s=612x612&amp;w=0&amp;k=20&amp;c=lod3yAj5Scr_PR2EmRes42u9doF2AInwLiwQwg_p56c=","Link")</f>
        <v>Link</v>
      </c>
      <c r="C103" t="s">
        <v>12</v>
      </c>
      <c r="D103" t="s">
        <v>6</v>
      </c>
      <c r="E103" t="s">
        <v>15</v>
      </c>
    </row>
    <row r="104" spans="1:5" x14ac:dyDescent="0.3">
      <c r="A104" t="s">
        <v>4</v>
      </c>
      <c r="B104" s="1" t="str">
        <f>HYPERLINK("https://media.istockphoto.com/id/1473502313/photo/portrait-of-a-mature-male-driver-in-the-car.jpg?s=612x612&amp;w=0&amp;k=20&amp;c=lod3yAj5Scr_PR2EmRes42u9doF2AInwLiwQwg_p56c=","Link")</f>
        <v>Link</v>
      </c>
      <c r="C104" t="s">
        <v>12</v>
      </c>
      <c r="D104" t="s">
        <v>7</v>
      </c>
      <c r="E104" t="s">
        <v>15</v>
      </c>
    </row>
    <row r="105" spans="1:5" x14ac:dyDescent="0.3">
      <c r="A105" t="s">
        <v>4</v>
      </c>
      <c r="B105" s="1" t="str">
        <f>HYPERLINK("https://media.istockphoto.com/id/1473502313/photo/portrait-of-a-mature-male-driver-in-the-car.jpg?s=612x612&amp;w=0&amp;k=20&amp;c=lod3yAj5Scr_PR2EmRes42u9doF2AInwLiwQwg_p56c=","Link")</f>
        <v>Link</v>
      </c>
      <c r="C105" t="s">
        <v>12</v>
      </c>
      <c r="D105" t="s">
        <v>8</v>
      </c>
      <c r="E105" t="s">
        <v>15</v>
      </c>
    </row>
    <row r="106" spans="1:5" x14ac:dyDescent="0.3">
      <c r="A106" t="s">
        <v>4</v>
      </c>
      <c r="B106" s="1" t="str">
        <f>HYPERLINK("https://media.istockphoto.com/id/1473502313/photo/portrait-of-a-mature-male-driver-in-the-car.jpg?s=612x612&amp;w=0&amp;k=20&amp;c=lod3yAj5Scr_PR2EmRes42u9doF2AInwLiwQwg_p56c=","Link")</f>
        <v>Link</v>
      </c>
      <c r="C106" t="s">
        <v>12</v>
      </c>
      <c r="D106" t="s">
        <v>9</v>
      </c>
      <c r="E106" t="s">
        <v>15</v>
      </c>
    </row>
    <row r="107" spans="1:5" x14ac:dyDescent="0.3">
      <c r="A107" t="s">
        <v>4</v>
      </c>
      <c r="B107" s="1" t="str">
        <f>HYPERLINK("https://media.istockphoto.com/id/846135666/photo/young-woman-outdoor.jpg?s=612x612&amp;w=0&amp;k=20&amp;c=akY6EP-E91_CBADeRN6sjxwnGemn0x19XYRsgWC4IZs=","Link")</f>
        <v>Link</v>
      </c>
      <c r="C107" t="s">
        <v>11</v>
      </c>
      <c r="D107" t="s">
        <v>5</v>
      </c>
      <c r="E107" t="s">
        <v>15</v>
      </c>
    </row>
    <row r="108" spans="1:5" x14ac:dyDescent="0.3">
      <c r="A108" t="s">
        <v>4</v>
      </c>
      <c r="B108" s="1" t="str">
        <f>HYPERLINK("https://media.istockphoto.com/id/846135666/photo/young-woman-outdoor.jpg?s=612x612&amp;w=0&amp;k=20&amp;c=akY6EP-E91_CBADeRN6sjxwnGemn0x19XYRsgWC4IZs=","Link")</f>
        <v>Link</v>
      </c>
      <c r="C108" t="s">
        <v>12</v>
      </c>
      <c r="D108" t="s">
        <v>6</v>
      </c>
      <c r="E108" t="s">
        <v>15</v>
      </c>
    </row>
    <row r="109" spans="1:5" x14ac:dyDescent="0.3">
      <c r="A109" t="s">
        <v>4</v>
      </c>
      <c r="B109" s="1" t="str">
        <f>HYPERLINK("https://media.istockphoto.com/id/846135666/photo/young-woman-outdoor.jpg?s=612x612&amp;w=0&amp;k=20&amp;c=akY6EP-E91_CBADeRN6sjxwnGemn0x19XYRsgWC4IZs=","Link")</f>
        <v>Link</v>
      </c>
      <c r="C109" t="s">
        <v>12</v>
      </c>
      <c r="D109" t="s">
        <v>7</v>
      </c>
      <c r="E109" t="s">
        <v>15</v>
      </c>
    </row>
    <row r="110" spans="1:5" x14ac:dyDescent="0.3">
      <c r="A110" t="s">
        <v>4</v>
      </c>
      <c r="B110" s="1" t="str">
        <f>HYPERLINK("https://media.istockphoto.com/id/846135666/photo/young-woman-outdoor.jpg?s=612x612&amp;w=0&amp;k=20&amp;c=akY6EP-E91_CBADeRN6sjxwnGemn0x19XYRsgWC4IZs=","Link")</f>
        <v>Link</v>
      </c>
      <c r="C110" t="s">
        <v>12</v>
      </c>
      <c r="D110" t="s">
        <v>8</v>
      </c>
      <c r="E110" t="s">
        <v>15</v>
      </c>
    </row>
    <row r="111" spans="1:5" x14ac:dyDescent="0.3">
      <c r="A111" t="s">
        <v>4</v>
      </c>
      <c r="B111" s="1" t="str">
        <f>HYPERLINK("https://media.istockphoto.com/id/846135666/photo/young-woman-outdoor.jpg?s=612x612&amp;w=0&amp;k=20&amp;c=akY6EP-E91_CBADeRN6sjxwnGemn0x19XYRsgWC4IZs=","Link")</f>
        <v>Link</v>
      </c>
      <c r="C111" t="s">
        <v>12</v>
      </c>
      <c r="D111" t="s">
        <v>9</v>
      </c>
      <c r="E111" t="s">
        <v>15</v>
      </c>
    </row>
    <row r="112" spans="1:5" x14ac:dyDescent="0.3">
      <c r="A112" t="s">
        <v>4</v>
      </c>
      <c r="B112" s="1" t="str">
        <f>HYPERLINK("https://media.istockphoto.com/id/1155021405/photo/rural-interstate-driving-in-the-usa.jpg?s=612x612&amp;w=0&amp;k=20&amp;c=DsvvsUZgjXydnnbffkvnAseNPYMwg_kZNTcWwgHKAWQ=","Link")</f>
        <v>Link</v>
      </c>
      <c r="C112" t="s">
        <v>11</v>
      </c>
      <c r="D112" t="s">
        <v>5</v>
      </c>
      <c r="E112" t="s">
        <v>15</v>
      </c>
    </row>
    <row r="113" spans="1:5" x14ac:dyDescent="0.3">
      <c r="A113" t="s">
        <v>4</v>
      </c>
      <c r="B113" s="1" t="str">
        <f>HYPERLINK("https://media.istockphoto.com/id/1155021405/photo/rural-interstate-driving-in-the-usa.jpg?s=612x612&amp;w=0&amp;k=20&amp;c=DsvvsUZgjXydnnbffkvnAseNPYMwg_kZNTcWwgHKAWQ=","Link")</f>
        <v>Link</v>
      </c>
      <c r="C113" t="s">
        <v>12</v>
      </c>
      <c r="D113" t="s">
        <v>6</v>
      </c>
      <c r="E113" t="s">
        <v>15</v>
      </c>
    </row>
    <row r="114" spans="1:5" x14ac:dyDescent="0.3">
      <c r="A114" t="s">
        <v>4</v>
      </c>
      <c r="B114" s="1" t="str">
        <f>HYPERLINK("https://media.istockphoto.com/id/1155021405/photo/rural-interstate-driving-in-the-usa.jpg?s=612x612&amp;w=0&amp;k=20&amp;c=DsvvsUZgjXydnnbffkvnAseNPYMwg_kZNTcWwgHKAWQ=","Link")</f>
        <v>Link</v>
      </c>
      <c r="C114" t="s">
        <v>11</v>
      </c>
      <c r="D114" t="s">
        <v>7</v>
      </c>
      <c r="E114" t="s">
        <v>15</v>
      </c>
    </row>
    <row r="115" spans="1:5" x14ac:dyDescent="0.3">
      <c r="A115" t="s">
        <v>4</v>
      </c>
      <c r="B115" s="1" t="str">
        <f>HYPERLINK("https://media.istockphoto.com/id/1155021405/photo/rural-interstate-driving-in-the-usa.jpg?s=612x612&amp;w=0&amp;k=20&amp;c=DsvvsUZgjXydnnbffkvnAseNPYMwg_kZNTcWwgHKAWQ=","Link")</f>
        <v>Link</v>
      </c>
      <c r="C115" t="s">
        <v>12</v>
      </c>
      <c r="D115" t="s">
        <v>8</v>
      </c>
      <c r="E115" t="s">
        <v>15</v>
      </c>
    </row>
    <row r="116" spans="1:5" x14ac:dyDescent="0.3">
      <c r="A116" t="s">
        <v>4</v>
      </c>
      <c r="B116" s="1" t="str">
        <f>HYPERLINK("https://media.istockphoto.com/id/1155021405/photo/rural-interstate-driving-in-the-usa.jpg?s=612x612&amp;w=0&amp;k=20&amp;c=DsvvsUZgjXydnnbffkvnAseNPYMwg_kZNTcWwgHKAWQ=","Link")</f>
        <v>Link</v>
      </c>
      <c r="C116" t="s">
        <v>12</v>
      </c>
      <c r="D116" t="s">
        <v>9</v>
      </c>
      <c r="E116" t="s">
        <v>15</v>
      </c>
    </row>
    <row r="117" spans="1:5" x14ac:dyDescent="0.3">
      <c r="A117" t="s">
        <v>4</v>
      </c>
      <c r="B117" s="1" t="str">
        <f>HYPERLINK("https://media.istockphoto.com/id/1377416828/photo/young-woman-driving-car-during-sunset.jpg?s=612x612&amp;w=0&amp;k=20&amp;c=emXcmOyKybgrbQo-Q6epNellOI5tRzh0rQfpg9ntCJg=","Link")</f>
        <v>Link</v>
      </c>
      <c r="C117" t="s">
        <v>11</v>
      </c>
      <c r="D117" t="s">
        <v>5</v>
      </c>
      <c r="E117" t="s">
        <v>15</v>
      </c>
    </row>
    <row r="118" spans="1:5" x14ac:dyDescent="0.3">
      <c r="A118" t="s">
        <v>4</v>
      </c>
      <c r="B118" s="1" t="str">
        <f>HYPERLINK("https://media.istockphoto.com/id/1377416828/photo/young-woman-driving-car-during-sunset.jpg?s=612x612&amp;w=0&amp;k=20&amp;c=emXcmOyKybgrbQo-Q6epNellOI5tRzh0rQfpg9ntCJg=","Link")</f>
        <v>Link</v>
      </c>
      <c r="C118" t="s">
        <v>12</v>
      </c>
      <c r="D118" t="s">
        <v>6</v>
      </c>
      <c r="E118" t="s">
        <v>15</v>
      </c>
    </row>
    <row r="119" spans="1:5" x14ac:dyDescent="0.3">
      <c r="A119" t="s">
        <v>4</v>
      </c>
      <c r="B119" s="1" t="str">
        <f>HYPERLINK("https://media.istockphoto.com/id/1377416828/photo/young-woman-driving-car-during-sunset.jpg?s=612x612&amp;w=0&amp;k=20&amp;c=emXcmOyKybgrbQo-Q6epNellOI5tRzh0rQfpg9ntCJg=","Link")</f>
        <v>Link</v>
      </c>
      <c r="C119" t="s">
        <v>12</v>
      </c>
      <c r="D119" t="s">
        <v>7</v>
      </c>
      <c r="E119" t="s">
        <v>15</v>
      </c>
    </row>
    <row r="120" spans="1:5" x14ac:dyDescent="0.3">
      <c r="A120" t="s">
        <v>4</v>
      </c>
      <c r="B120" s="1" t="str">
        <f>HYPERLINK("https://media.istockphoto.com/id/1377416828/photo/young-woman-driving-car-during-sunset.jpg?s=612x612&amp;w=0&amp;k=20&amp;c=emXcmOyKybgrbQo-Q6epNellOI5tRzh0rQfpg9ntCJg=","Link")</f>
        <v>Link</v>
      </c>
      <c r="C120" t="s">
        <v>12</v>
      </c>
      <c r="D120" t="s">
        <v>8</v>
      </c>
      <c r="E120" t="s">
        <v>15</v>
      </c>
    </row>
    <row r="121" spans="1:5" x14ac:dyDescent="0.3">
      <c r="A121" t="s">
        <v>4</v>
      </c>
      <c r="B121" s="1" t="str">
        <f>HYPERLINK("https://media.istockphoto.com/id/1377416828/photo/young-woman-driving-car-during-sunset.jpg?s=612x612&amp;w=0&amp;k=20&amp;c=emXcmOyKybgrbQo-Q6epNellOI5tRzh0rQfpg9ntCJg=","Link")</f>
        <v>Link</v>
      </c>
      <c r="C121" t="s">
        <v>12</v>
      </c>
      <c r="D121" t="s">
        <v>9</v>
      </c>
      <c r="E121" t="s">
        <v>15</v>
      </c>
    </row>
    <row r="122" spans="1:5" x14ac:dyDescent="0.3">
      <c r="A122" t="s">
        <v>4</v>
      </c>
      <c r="B122" s="1" t="str">
        <f>HYPERLINK("https://media.istockphoto.com/id/1427315748/photo/focused-car-driver.jpg?s=612x612&amp;w=0&amp;k=20&amp;c=glWoCh9aXc40EODpP6Ewti1njSqUUHo_XUnz9hxsgPo=","Link")</f>
        <v>Link</v>
      </c>
      <c r="C122" t="s">
        <v>11</v>
      </c>
      <c r="D122" t="s">
        <v>5</v>
      </c>
      <c r="E122" t="s">
        <v>15</v>
      </c>
    </row>
    <row r="123" spans="1:5" x14ac:dyDescent="0.3">
      <c r="A123" t="s">
        <v>4</v>
      </c>
      <c r="B123" s="1" t="str">
        <f>HYPERLINK("https://media.istockphoto.com/id/1427315748/photo/focused-car-driver.jpg?s=612x612&amp;w=0&amp;k=20&amp;c=glWoCh9aXc40EODpP6Ewti1njSqUUHo_XUnz9hxsgPo=","Link")</f>
        <v>Link</v>
      </c>
      <c r="C123" t="s">
        <v>12</v>
      </c>
      <c r="D123" t="s">
        <v>6</v>
      </c>
      <c r="E123" t="s">
        <v>15</v>
      </c>
    </row>
    <row r="124" spans="1:5" x14ac:dyDescent="0.3">
      <c r="A124" t="s">
        <v>4</v>
      </c>
      <c r="B124" s="1" t="str">
        <f>HYPERLINK("https://media.istockphoto.com/id/1427315748/photo/focused-car-driver.jpg?s=612x612&amp;w=0&amp;k=20&amp;c=glWoCh9aXc40EODpP6Ewti1njSqUUHo_XUnz9hxsgPo=","Link")</f>
        <v>Link</v>
      </c>
      <c r="C124" t="s">
        <v>12</v>
      </c>
      <c r="D124" t="s">
        <v>7</v>
      </c>
      <c r="E124" t="s">
        <v>15</v>
      </c>
    </row>
    <row r="125" spans="1:5" x14ac:dyDescent="0.3">
      <c r="A125" t="s">
        <v>4</v>
      </c>
      <c r="B125" s="1" t="str">
        <f>HYPERLINK("https://media.istockphoto.com/id/1427315748/photo/focused-car-driver.jpg?s=612x612&amp;w=0&amp;k=20&amp;c=glWoCh9aXc40EODpP6Ewti1njSqUUHo_XUnz9hxsgPo=","Link")</f>
        <v>Link</v>
      </c>
      <c r="C125" t="s">
        <v>12</v>
      </c>
      <c r="D125" t="s">
        <v>8</v>
      </c>
      <c r="E125" t="s">
        <v>15</v>
      </c>
    </row>
    <row r="126" spans="1:5" x14ac:dyDescent="0.3">
      <c r="A126" t="s">
        <v>4</v>
      </c>
      <c r="B126" s="1" t="str">
        <f>HYPERLINK("https://media.istockphoto.com/id/1427315748/photo/focused-car-driver.jpg?s=612x612&amp;w=0&amp;k=20&amp;c=glWoCh9aXc40EODpP6Ewti1njSqUUHo_XUnz9hxsgPo=","Link")</f>
        <v>Link</v>
      </c>
      <c r="C126" t="s">
        <v>12</v>
      </c>
      <c r="D126" t="s">
        <v>9</v>
      </c>
      <c r="E126" t="s">
        <v>15</v>
      </c>
    </row>
    <row r="127" spans="1:5" x14ac:dyDescent="0.3">
      <c r="A127" t="s">
        <v>4</v>
      </c>
      <c r="B127" s="1" t="str">
        <f>HYPERLINK("https://media.istockphoto.com/id/462208251/photo/businessman-driving-at-night-in-the-city.jpg?s=612x612&amp;w=0&amp;k=20&amp;c=5kO73dlfxSeGOURKMIWMrfZLFV2FkKgOKwRDy4bNS8M=","Link")</f>
        <v>Link</v>
      </c>
      <c r="C127" t="s">
        <v>11</v>
      </c>
      <c r="D127" t="s">
        <v>5</v>
      </c>
      <c r="E127" t="s">
        <v>15</v>
      </c>
    </row>
    <row r="128" spans="1:5" x14ac:dyDescent="0.3">
      <c r="A128" t="s">
        <v>4</v>
      </c>
      <c r="B128" s="1" t="str">
        <f>HYPERLINK("https://media.istockphoto.com/id/462208251/photo/businessman-driving-at-night-in-the-city.jpg?s=612x612&amp;w=0&amp;k=20&amp;c=5kO73dlfxSeGOURKMIWMrfZLFV2FkKgOKwRDy4bNS8M=","Link")</f>
        <v>Link</v>
      </c>
      <c r="C128" t="s">
        <v>12</v>
      </c>
      <c r="D128" t="s">
        <v>6</v>
      </c>
      <c r="E128" t="s">
        <v>15</v>
      </c>
    </row>
    <row r="129" spans="1:5" x14ac:dyDescent="0.3">
      <c r="A129" t="s">
        <v>4</v>
      </c>
      <c r="B129" s="1" t="str">
        <f>HYPERLINK("https://media.istockphoto.com/id/462208251/photo/businessman-driving-at-night-in-the-city.jpg?s=612x612&amp;w=0&amp;k=20&amp;c=5kO73dlfxSeGOURKMIWMrfZLFV2FkKgOKwRDy4bNS8M=","Link")</f>
        <v>Link</v>
      </c>
      <c r="C129" t="s">
        <v>12</v>
      </c>
      <c r="D129" t="s">
        <v>7</v>
      </c>
      <c r="E129" t="s">
        <v>15</v>
      </c>
    </row>
    <row r="130" spans="1:5" x14ac:dyDescent="0.3">
      <c r="A130" t="s">
        <v>4</v>
      </c>
      <c r="B130" s="1" t="str">
        <f>HYPERLINK("https://media.istockphoto.com/id/462208251/photo/businessman-driving-at-night-in-the-city.jpg?s=612x612&amp;w=0&amp;k=20&amp;c=5kO73dlfxSeGOURKMIWMrfZLFV2FkKgOKwRDy4bNS8M=","Link")</f>
        <v>Link</v>
      </c>
      <c r="C130" t="s">
        <v>12</v>
      </c>
      <c r="D130" t="s">
        <v>8</v>
      </c>
      <c r="E130" t="s">
        <v>15</v>
      </c>
    </row>
    <row r="131" spans="1:5" x14ac:dyDescent="0.3">
      <c r="A131" t="s">
        <v>4</v>
      </c>
      <c r="B131" s="1" t="str">
        <f>HYPERLINK("https://media.istockphoto.com/id/462208251/photo/businessman-driving-at-night-in-the-city.jpg?s=612x612&amp;w=0&amp;k=20&amp;c=5kO73dlfxSeGOURKMIWMrfZLFV2FkKgOKwRDy4bNS8M=","Link")</f>
        <v>Link</v>
      </c>
      <c r="C131" t="s">
        <v>12</v>
      </c>
      <c r="D131" t="s">
        <v>9</v>
      </c>
      <c r="E131" t="s">
        <v>15</v>
      </c>
    </row>
    <row r="132" spans="1:5" x14ac:dyDescent="0.3">
      <c r="A132" t="s">
        <v>4</v>
      </c>
      <c r="B132" s="1" t="str">
        <f>HYPERLINK("https://media.istockphoto.com/id/1030960804/photo/young-woman-in-car-driving-seat-looking-ahead-close-up.jpg?s=612x612&amp;w=0&amp;k=20&amp;c=lBcZXccer_kv8zUzBxfWncULtN3RXrmeTd9OXen01Mc=","Link")</f>
        <v>Link</v>
      </c>
      <c r="C132" t="s">
        <v>11</v>
      </c>
      <c r="D132" t="s">
        <v>5</v>
      </c>
      <c r="E132" t="s">
        <v>15</v>
      </c>
    </row>
    <row r="133" spans="1:5" x14ac:dyDescent="0.3">
      <c r="A133" t="s">
        <v>4</v>
      </c>
      <c r="B133" s="1" t="str">
        <f>HYPERLINK("https://media.istockphoto.com/id/1030960804/photo/young-woman-in-car-driving-seat-looking-ahead-close-up.jpg?s=612x612&amp;w=0&amp;k=20&amp;c=lBcZXccer_kv8zUzBxfWncULtN3RXrmeTd9OXen01Mc=","Link")</f>
        <v>Link</v>
      </c>
      <c r="C133" t="s">
        <v>12</v>
      </c>
      <c r="D133" t="s">
        <v>6</v>
      </c>
      <c r="E133" t="s">
        <v>15</v>
      </c>
    </row>
    <row r="134" spans="1:5" x14ac:dyDescent="0.3">
      <c r="A134" t="s">
        <v>4</v>
      </c>
      <c r="B134" s="1" t="str">
        <f>HYPERLINK("https://media.istockphoto.com/id/1030960804/photo/young-woman-in-car-driving-seat-looking-ahead-close-up.jpg?s=612x612&amp;w=0&amp;k=20&amp;c=lBcZXccer_kv8zUzBxfWncULtN3RXrmeTd9OXen01Mc=","Link")</f>
        <v>Link</v>
      </c>
      <c r="C134" t="s">
        <v>12</v>
      </c>
      <c r="D134" t="s">
        <v>7</v>
      </c>
      <c r="E134" t="s">
        <v>15</v>
      </c>
    </row>
    <row r="135" spans="1:5" x14ac:dyDescent="0.3">
      <c r="A135" t="s">
        <v>4</v>
      </c>
      <c r="B135" s="1" t="str">
        <f>HYPERLINK("https://media.istockphoto.com/id/1030960804/photo/young-woman-in-car-driving-seat-looking-ahead-close-up.jpg?s=612x612&amp;w=0&amp;k=20&amp;c=lBcZXccer_kv8zUzBxfWncULtN3RXrmeTd9OXen01Mc=","Link")</f>
        <v>Link</v>
      </c>
      <c r="C135" t="s">
        <v>12</v>
      </c>
      <c r="D135" t="s">
        <v>8</v>
      </c>
      <c r="E135" t="s">
        <v>15</v>
      </c>
    </row>
    <row r="136" spans="1:5" x14ac:dyDescent="0.3">
      <c r="A136" t="s">
        <v>4</v>
      </c>
      <c r="B136" s="1" t="str">
        <f>HYPERLINK("https://media.istockphoto.com/id/1030960804/photo/young-woman-in-car-driving-seat-looking-ahead-close-up.jpg?s=612x612&amp;w=0&amp;k=20&amp;c=lBcZXccer_kv8zUzBxfWncULtN3RXrmeTd9OXen01Mc=","Link")</f>
        <v>Link</v>
      </c>
      <c r="C136" t="s">
        <v>12</v>
      </c>
      <c r="D136" t="s">
        <v>9</v>
      </c>
      <c r="E136" t="s">
        <v>15</v>
      </c>
    </row>
    <row r="137" spans="1:5" x14ac:dyDescent="0.3">
      <c r="A137" t="s">
        <v>4</v>
      </c>
      <c r="B137" s="1" t="str">
        <f>HYPERLINK("https://media.istockphoto.com/id/2166802770/photo/businessman-driving-car-in-the-city-during-daylight.jpg?s=612x612&amp;w=0&amp;k=20&amp;c=7h0T6chBtdn9EpY8lOxdO3WDk7a3cPIFz_FM2Bt27Vk=","Link")</f>
        <v>Link</v>
      </c>
      <c r="C137" t="s">
        <v>11</v>
      </c>
      <c r="D137" t="s">
        <v>5</v>
      </c>
      <c r="E137" t="s">
        <v>15</v>
      </c>
    </row>
    <row r="138" spans="1:5" x14ac:dyDescent="0.3">
      <c r="A138" t="s">
        <v>4</v>
      </c>
      <c r="B138" s="1" t="str">
        <f>HYPERLINK("https://media.istockphoto.com/id/2166802770/photo/businessman-driving-car-in-the-city-during-daylight.jpg?s=612x612&amp;w=0&amp;k=20&amp;c=7h0T6chBtdn9EpY8lOxdO3WDk7a3cPIFz_FM2Bt27Vk=","Link")</f>
        <v>Link</v>
      </c>
      <c r="C138" t="s">
        <v>12</v>
      </c>
      <c r="D138" t="s">
        <v>6</v>
      </c>
      <c r="E138" t="s">
        <v>15</v>
      </c>
    </row>
    <row r="139" spans="1:5" x14ac:dyDescent="0.3">
      <c r="A139" t="s">
        <v>4</v>
      </c>
      <c r="B139" s="1" t="str">
        <f>HYPERLINK("https://media.istockphoto.com/id/2166802770/photo/businessman-driving-car-in-the-city-during-daylight.jpg?s=612x612&amp;w=0&amp;k=20&amp;c=7h0T6chBtdn9EpY8lOxdO3WDk7a3cPIFz_FM2Bt27Vk=","Link")</f>
        <v>Link</v>
      </c>
      <c r="C139" t="s">
        <v>12</v>
      </c>
      <c r="D139" t="s">
        <v>7</v>
      </c>
      <c r="E139" t="s">
        <v>15</v>
      </c>
    </row>
    <row r="140" spans="1:5" x14ac:dyDescent="0.3">
      <c r="A140" t="s">
        <v>4</v>
      </c>
      <c r="B140" s="1" t="str">
        <f>HYPERLINK("https://media.istockphoto.com/id/2166802770/photo/businessman-driving-car-in-the-city-during-daylight.jpg?s=612x612&amp;w=0&amp;k=20&amp;c=7h0T6chBtdn9EpY8lOxdO3WDk7a3cPIFz_FM2Bt27Vk=","Link")</f>
        <v>Link</v>
      </c>
      <c r="C140" t="s">
        <v>12</v>
      </c>
      <c r="D140" t="s">
        <v>8</v>
      </c>
      <c r="E140" t="s">
        <v>15</v>
      </c>
    </row>
    <row r="141" spans="1:5" x14ac:dyDescent="0.3">
      <c r="A141" t="s">
        <v>4</v>
      </c>
      <c r="B141" s="1" t="str">
        <f>HYPERLINK("https://media.istockphoto.com/id/2166802770/photo/businessman-driving-car-in-the-city-during-daylight.jpg?s=612x612&amp;w=0&amp;k=20&amp;c=7h0T6chBtdn9EpY8lOxdO3WDk7a3cPIFz_FM2Bt27Vk=","Link")</f>
        <v>Link</v>
      </c>
      <c r="C141" t="s">
        <v>12</v>
      </c>
      <c r="D141" t="s">
        <v>9</v>
      </c>
      <c r="E141" t="s">
        <v>15</v>
      </c>
    </row>
    <row r="142" spans="1:5" x14ac:dyDescent="0.3">
      <c r="A142" t="s">
        <v>4</v>
      </c>
      <c r="B142" s="1" t="str">
        <f>HYPERLINK("https://st3.depositphotos.com/14015406/17147/i/380/depositphotos_171470808-stock-photo-beautiful-businesswoman-driving-car-at.jpg","Link")</f>
        <v>Link</v>
      </c>
      <c r="C142" t="s">
        <v>11</v>
      </c>
      <c r="D142" t="s">
        <v>5</v>
      </c>
      <c r="E142" t="s">
        <v>15</v>
      </c>
    </row>
    <row r="143" spans="1:5" x14ac:dyDescent="0.3">
      <c r="A143" t="s">
        <v>4</v>
      </c>
      <c r="B143" s="1" t="str">
        <f>HYPERLINK("https://st3.depositphotos.com/14015406/17147/i/380/depositphotos_171470808-stock-photo-beautiful-businesswoman-driving-car-at.jpg","Link")</f>
        <v>Link</v>
      </c>
      <c r="C143" t="s">
        <v>12</v>
      </c>
      <c r="D143" t="s">
        <v>6</v>
      </c>
      <c r="E143" t="s">
        <v>15</v>
      </c>
    </row>
    <row r="144" spans="1:5" x14ac:dyDescent="0.3">
      <c r="A144" t="s">
        <v>4</v>
      </c>
      <c r="B144" s="1" t="str">
        <f>HYPERLINK("https://st3.depositphotos.com/14015406/17147/i/380/depositphotos_171470808-stock-photo-beautiful-businesswoman-driving-car-at.jpg","Link")</f>
        <v>Link</v>
      </c>
      <c r="C144" t="s">
        <v>12</v>
      </c>
      <c r="D144" t="s">
        <v>7</v>
      </c>
      <c r="E144" t="s">
        <v>15</v>
      </c>
    </row>
    <row r="145" spans="1:5" x14ac:dyDescent="0.3">
      <c r="A145" t="s">
        <v>4</v>
      </c>
      <c r="B145" s="1" t="str">
        <f>HYPERLINK("https://st3.depositphotos.com/14015406/17147/i/380/depositphotos_171470808-stock-photo-beautiful-businesswoman-driving-car-at.jpg","Link")</f>
        <v>Link</v>
      </c>
      <c r="C145" t="s">
        <v>12</v>
      </c>
      <c r="D145" t="s">
        <v>8</v>
      </c>
      <c r="E145" t="s">
        <v>15</v>
      </c>
    </row>
    <row r="146" spans="1:5" x14ac:dyDescent="0.3">
      <c r="A146" t="s">
        <v>4</v>
      </c>
      <c r="B146" s="1" t="str">
        <f>HYPERLINK("https://st3.depositphotos.com/14015406/17147/i/380/depositphotos_171470808-stock-photo-beautiful-businesswoman-driving-car-at.jpg","Link")</f>
        <v>Link</v>
      </c>
      <c r="C146" t="s">
        <v>12</v>
      </c>
      <c r="D146" t="s">
        <v>9</v>
      </c>
      <c r="E146" t="s">
        <v>15</v>
      </c>
    </row>
    <row r="147" spans="1:5" x14ac:dyDescent="0.3">
      <c r="A147" t="s">
        <v>4</v>
      </c>
      <c r="B147" s="1" t="str">
        <f>HYPERLINK("https://st5.depositphotos.com/16122460/74917/i/380/depositphotos_749171066-stock-photo-smiling-woman-holding-steering-wheel.jpg","Link")</f>
        <v>Link</v>
      </c>
      <c r="C147" t="s">
        <v>11</v>
      </c>
      <c r="D147" t="s">
        <v>5</v>
      </c>
      <c r="E147" t="s">
        <v>15</v>
      </c>
    </row>
    <row r="148" spans="1:5" x14ac:dyDescent="0.3">
      <c r="A148" t="s">
        <v>4</v>
      </c>
      <c r="B148" s="1" t="str">
        <f>HYPERLINK("https://st5.depositphotos.com/16122460/74917/i/380/depositphotos_749171066-stock-photo-smiling-woman-holding-steering-wheel.jpg","Link")</f>
        <v>Link</v>
      </c>
      <c r="C148" t="s">
        <v>12</v>
      </c>
      <c r="D148" t="s">
        <v>6</v>
      </c>
      <c r="E148" t="s">
        <v>15</v>
      </c>
    </row>
    <row r="149" spans="1:5" x14ac:dyDescent="0.3">
      <c r="A149" t="s">
        <v>4</v>
      </c>
      <c r="B149" s="1" t="str">
        <f>HYPERLINK("https://st5.depositphotos.com/16122460/74917/i/380/depositphotos_749171066-stock-photo-smiling-woman-holding-steering-wheel.jpg","Link")</f>
        <v>Link</v>
      </c>
      <c r="C149" t="s">
        <v>12</v>
      </c>
      <c r="D149" t="s">
        <v>7</v>
      </c>
      <c r="E149" t="s">
        <v>15</v>
      </c>
    </row>
    <row r="150" spans="1:5" x14ac:dyDescent="0.3">
      <c r="A150" t="s">
        <v>4</v>
      </c>
      <c r="B150" s="1" t="str">
        <f>HYPERLINK("https://st5.depositphotos.com/16122460/74917/i/380/depositphotos_749171066-stock-photo-smiling-woman-holding-steering-wheel.jpg","Link")</f>
        <v>Link</v>
      </c>
      <c r="C150" t="s">
        <v>12</v>
      </c>
      <c r="D150" t="s">
        <v>8</v>
      </c>
      <c r="E150" t="s">
        <v>15</v>
      </c>
    </row>
    <row r="151" spans="1:5" x14ac:dyDescent="0.3">
      <c r="A151" t="s">
        <v>4</v>
      </c>
      <c r="B151" s="1" t="str">
        <f>HYPERLINK("https://st5.depositphotos.com/16122460/74917/i/380/depositphotos_749171066-stock-photo-smiling-woman-holding-steering-wheel.jpg","Link")</f>
        <v>Link</v>
      </c>
      <c r="C151" t="s">
        <v>12</v>
      </c>
      <c r="D151" t="s">
        <v>9</v>
      </c>
      <c r="E151" t="s">
        <v>15</v>
      </c>
    </row>
    <row r="152" spans="1:5" x14ac:dyDescent="0.3">
      <c r="A152" t="s">
        <v>4</v>
      </c>
      <c r="B152" s="1" t="str">
        <f>HYPERLINK("https://st4.depositphotos.com/12985848/19793/i/380/depositphotos_197937612-stock-photo-side-view-attractive-woman-driving.jpg","Link")</f>
        <v>Link</v>
      </c>
      <c r="C152" t="s">
        <v>11</v>
      </c>
      <c r="D152" t="s">
        <v>5</v>
      </c>
      <c r="E152" t="s">
        <v>15</v>
      </c>
    </row>
    <row r="153" spans="1:5" x14ac:dyDescent="0.3">
      <c r="A153" t="s">
        <v>4</v>
      </c>
      <c r="B153" s="1" t="str">
        <f>HYPERLINK("https://st4.depositphotos.com/12985848/19793/i/380/depositphotos_197937612-stock-photo-side-view-attractive-woman-driving.jpg","Link")</f>
        <v>Link</v>
      </c>
      <c r="C153" t="s">
        <v>12</v>
      </c>
      <c r="D153" t="s">
        <v>6</v>
      </c>
      <c r="E153" t="s">
        <v>15</v>
      </c>
    </row>
    <row r="154" spans="1:5" x14ac:dyDescent="0.3">
      <c r="A154" t="s">
        <v>4</v>
      </c>
      <c r="B154" s="1" t="str">
        <f>HYPERLINK("https://st4.depositphotos.com/12985848/19793/i/380/depositphotos_197937612-stock-photo-side-view-attractive-woman-driving.jpg","Link")</f>
        <v>Link</v>
      </c>
      <c r="C154" t="s">
        <v>12</v>
      </c>
      <c r="D154" t="s">
        <v>7</v>
      </c>
      <c r="E154" t="s">
        <v>15</v>
      </c>
    </row>
    <row r="155" spans="1:5" x14ac:dyDescent="0.3">
      <c r="A155" t="s">
        <v>4</v>
      </c>
      <c r="B155" s="1" t="str">
        <f>HYPERLINK("https://st4.depositphotos.com/12985848/19793/i/380/depositphotos_197937612-stock-photo-side-view-attractive-woman-driving.jpg","Link")</f>
        <v>Link</v>
      </c>
      <c r="C155" t="s">
        <v>12</v>
      </c>
      <c r="D155" t="s">
        <v>8</v>
      </c>
      <c r="E155" t="s">
        <v>15</v>
      </c>
    </row>
    <row r="156" spans="1:5" x14ac:dyDescent="0.3">
      <c r="A156" t="s">
        <v>4</v>
      </c>
      <c r="B156" s="1" t="str">
        <f>HYPERLINK("https://st4.depositphotos.com/12985848/19793/i/380/depositphotos_197937612-stock-photo-side-view-attractive-woman-driving.jpg","Link")</f>
        <v>Link</v>
      </c>
      <c r="C156" t="s">
        <v>12</v>
      </c>
      <c r="D156" t="s">
        <v>9</v>
      </c>
      <c r="E156" t="s">
        <v>15</v>
      </c>
    </row>
    <row r="157" spans="1:5" x14ac:dyDescent="0.3">
      <c r="A157" t="s">
        <v>4</v>
      </c>
      <c r="B157" s="1" t="str">
        <f>HYPERLINK("https://images.unsplash.com/photo-1747373354146-646351cc7e88?w=500&amp;auto=format&amp;fit=crop&amp;q=60&amp;ixlib=rb-4.1.0&amp;ixid=M3wxMjA3fDB8MHxzZWFyY2h8MTR8fGRyaXZpbmclMjBmb2N1c3xlbnwwfHwwfHx8MA%3D%3D","Link")</f>
        <v>Link</v>
      </c>
      <c r="C157" t="s">
        <v>11</v>
      </c>
      <c r="D157" t="s">
        <v>5</v>
      </c>
      <c r="E157" t="s">
        <v>15</v>
      </c>
    </row>
    <row r="158" spans="1:5" x14ac:dyDescent="0.3">
      <c r="A158" t="s">
        <v>4</v>
      </c>
      <c r="B158" s="1" t="str">
        <f>HYPERLINK("https://images.unsplash.com/photo-1747373354146-646351cc7e88?w=500&amp;auto=format&amp;fit=crop&amp;q=60&amp;ixlib=rb-4.1.0&amp;ixid=M3wxMjA3fDB8MHxzZWFyY2h8MTR8fGRyaXZpbmclMjBmb2N1c3xlbnwwfHwwfHx8MA%3D%3D","Link")</f>
        <v>Link</v>
      </c>
      <c r="C158" t="s">
        <v>12</v>
      </c>
      <c r="D158" t="s">
        <v>6</v>
      </c>
      <c r="E158" t="s">
        <v>15</v>
      </c>
    </row>
    <row r="159" spans="1:5" x14ac:dyDescent="0.3">
      <c r="A159" t="s">
        <v>4</v>
      </c>
      <c r="B159" s="1" t="str">
        <f>HYPERLINK("https://images.unsplash.com/photo-1747373354146-646351cc7e88?w=500&amp;auto=format&amp;fit=crop&amp;q=60&amp;ixlib=rb-4.1.0&amp;ixid=M3wxMjA3fDB8MHxzZWFyY2h8MTR8fGRyaXZpbmclMjBmb2N1c3xlbnwwfHwwfHx8MA%3D%3D","Link")</f>
        <v>Link</v>
      </c>
      <c r="C159" t="s">
        <v>12</v>
      </c>
      <c r="D159" t="s">
        <v>7</v>
      </c>
      <c r="E159" t="s">
        <v>15</v>
      </c>
    </row>
    <row r="160" spans="1:5" x14ac:dyDescent="0.3">
      <c r="A160" t="s">
        <v>4</v>
      </c>
      <c r="B160" s="1" t="str">
        <f>HYPERLINK("https://images.unsplash.com/photo-1747373354146-646351cc7e88?w=500&amp;auto=format&amp;fit=crop&amp;q=60&amp;ixlib=rb-4.1.0&amp;ixid=M3wxMjA3fDB8MHxzZWFyY2h8MTR8fGRyaXZpbmclMjBmb2N1c3xlbnwwfHwwfHx8MA%3D%3D","Link")</f>
        <v>Link</v>
      </c>
      <c r="C160" t="s">
        <v>12</v>
      </c>
      <c r="D160" t="s">
        <v>8</v>
      </c>
      <c r="E160" t="s">
        <v>15</v>
      </c>
    </row>
    <row r="161" spans="1:5" x14ac:dyDescent="0.3">
      <c r="A161" t="s">
        <v>4</v>
      </c>
      <c r="B161" s="1" t="str">
        <f>HYPERLINK("https://images.unsplash.com/photo-1747373354146-646351cc7e88?w=500&amp;auto=format&amp;fit=crop&amp;q=60&amp;ixlib=rb-4.1.0&amp;ixid=M3wxMjA3fDB8MHxzZWFyY2h8MTR8fGRyaXZpbmclMjBmb2N1c3xlbnwwfHwwfHx8MA%3D%3D","Link")</f>
        <v>Link</v>
      </c>
      <c r="C161" t="s">
        <v>12</v>
      </c>
      <c r="D161" t="s">
        <v>9</v>
      </c>
      <c r="E161" t="s">
        <v>15</v>
      </c>
    </row>
    <row r="162" spans="1:5" x14ac:dyDescent="0.3">
      <c r="A162" t="s">
        <v>4</v>
      </c>
      <c r="B162" s="1" t="str">
        <f>HYPERLINK("https://media.istockphoto.com/id/1433072980/photo/young-latin-female-driver-is-waiting-for-the-green-light-in-a-neighbourhood.jpg?s=612x612&amp;w=0&amp;k=20&amp;c=an32xGltbuZl6E-DvW65xT9aTcVM86y5tIMdMvJu8Lo=","Link")</f>
        <v>Link</v>
      </c>
      <c r="C162" t="s">
        <v>11</v>
      </c>
      <c r="D162" t="s">
        <v>5</v>
      </c>
      <c r="E162" t="s">
        <v>15</v>
      </c>
    </row>
    <row r="163" spans="1:5" x14ac:dyDescent="0.3">
      <c r="A163" t="s">
        <v>4</v>
      </c>
      <c r="B163" s="1" t="str">
        <f>HYPERLINK("https://media.istockphoto.com/id/1433072980/photo/young-latin-female-driver-is-waiting-for-the-green-light-in-a-neighbourhood.jpg?s=612x612&amp;w=0&amp;k=20&amp;c=an32xGltbuZl6E-DvW65xT9aTcVM86y5tIMdMvJu8Lo=","Link")</f>
        <v>Link</v>
      </c>
      <c r="C163" t="s">
        <v>12</v>
      </c>
      <c r="D163" t="s">
        <v>6</v>
      </c>
      <c r="E163" t="s">
        <v>15</v>
      </c>
    </row>
    <row r="164" spans="1:5" x14ac:dyDescent="0.3">
      <c r="A164" t="s">
        <v>4</v>
      </c>
      <c r="B164" s="1" t="str">
        <f>HYPERLINK("https://media.istockphoto.com/id/1433072980/photo/young-latin-female-driver-is-waiting-for-the-green-light-in-a-neighbourhood.jpg?s=612x612&amp;w=0&amp;k=20&amp;c=an32xGltbuZl6E-DvW65xT9aTcVM86y5tIMdMvJu8Lo=","Link")</f>
        <v>Link</v>
      </c>
      <c r="C164" t="s">
        <v>12</v>
      </c>
      <c r="D164" t="s">
        <v>7</v>
      </c>
      <c r="E164" t="s">
        <v>15</v>
      </c>
    </row>
    <row r="165" spans="1:5" x14ac:dyDescent="0.3">
      <c r="A165" t="s">
        <v>4</v>
      </c>
      <c r="B165" s="1" t="str">
        <f>HYPERLINK("https://media.istockphoto.com/id/1433072980/photo/young-latin-female-driver-is-waiting-for-the-green-light-in-a-neighbourhood.jpg?s=612x612&amp;w=0&amp;k=20&amp;c=an32xGltbuZl6E-DvW65xT9aTcVM86y5tIMdMvJu8Lo=","Link")</f>
        <v>Link</v>
      </c>
      <c r="C165" t="s">
        <v>12</v>
      </c>
      <c r="D165" t="s">
        <v>8</v>
      </c>
      <c r="E165" t="s">
        <v>15</v>
      </c>
    </row>
    <row r="166" spans="1:5" x14ac:dyDescent="0.3">
      <c r="A166" t="s">
        <v>4</v>
      </c>
      <c r="B166" s="1" t="str">
        <f>HYPERLINK("https://media.istockphoto.com/id/1433072980/photo/young-latin-female-driver-is-waiting-for-the-green-light-in-a-neighbourhood.jpg?s=612x612&amp;w=0&amp;k=20&amp;c=an32xGltbuZl6E-DvW65xT9aTcVM86y5tIMdMvJu8Lo=","Link")</f>
        <v>Link</v>
      </c>
      <c r="C166" t="s">
        <v>12</v>
      </c>
      <c r="D166" t="s">
        <v>9</v>
      </c>
      <c r="E166" t="s">
        <v>15</v>
      </c>
    </row>
    <row r="167" spans="1:5" x14ac:dyDescent="0.3">
      <c r="A167" t="s">
        <v>4</v>
      </c>
      <c r="B167" s="1" t="str">
        <f>HYPERLINK("https://media.istockphoto.com/id/1145228520/photo/portrait-of-young-woman-driving-a-car.jpg?s=612x612&amp;w=0&amp;k=20&amp;c=QpVXLC2BrxTgKw6waM_4Yal2NsX5H_w_vnwzVf6Cctg=","Link")</f>
        <v>Link</v>
      </c>
      <c r="C167" t="s">
        <v>11</v>
      </c>
      <c r="D167" t="s">
        <v>5</v>
      </c>
      <c r="E167" t="s">
        <v>15</v>
      </c>
    </row>
    <row r="168" spans="1:5" x14ac:dyDescent="0.3">
      <c r="A168" t="s">
        <v>4</v>
      </c>
      <c r="B168" s="1" t="str">
        <f>HYPERLINK("https://media.istockphoto.com/id/1145228520/photo/portrait-of-young-woman-driving-a-car.jpg?s=612x612&amp;w=0&amp;k=20&amp;c=QpVXLC2BrxTgKw6waM_4Yal2NsX5H_w_vnwzVf6Cctg=","Link")</f>
        <v>Link</v>
      </c>
      <c r="C168" t="s">
        <v>12</v>
      </c>
      <c r="D168" t="s">
        <v>6</v>
      </c>
      <c r="E168" t="s">
        <v>15</v>
      </c>
    </row>
    <row r="169" spans="1:5" x14ac:dyDescent="0.3">
      <c r="A169" t="s">
        <v>4</v>
      </c>
      <c r="B169" s="1" t="str">
        <f>HYPERLINK("https://media.istockphoto.com/id/1145228520/photo/portrait-of-young-woman-driving-a-car.jpg?s=612x612&amp;w=0&amp;k=20&amp;c=QpVXLC2BrxTgKw6waM_4Yal2NsX5H_w_vnwzVf6Cctg=","Link")</f>
        <v>Link</v>
      </c>
      <c r="C169" t="s">
        <v>12</v>
      </c>
      <c r="D169" t="s">
        <v>7</v>
      </c>
      <c r="E169" t="s">
        <v>15</v>
      </c>
    </row>
    <row r="170" spans="1:5" x14ac:dyDescent="0.3">
      <c r="A170" t="s">
        <v>4</v>
      </c>
      <c r="B170" s="1" t="str">
        <f>HYPERLINK("https://media.istockphoto.com/id/1145228520/photo/portrait-of-young-woman-driving-a-car.jpg?s=612x612&amp;w=0&amp;k=20&amp;c=QpVXLC2BrxTgKw6waM_4Yal2NsX5H_w_vnwzVf6Cctg=","Link")</f>
        <v>Link</v>
      </c>
      <c r="C170" t="s">
        <v>12</v>
      </c>
      <c r="D170" t="s">
        <v>8</v>
      </c>
      <c r="E170" t="s">
        <v>15</v>
      </c>
    </row>
    <row r="171" spans="1:5" x14ac:dyDescent="0.3">
      <c r="A171" t="s">
        <v>4</v>
      </c>
      <c r="B171" s="1" t="str">
        <f>HYPERLINK("https://media.istockphoto.com/id/1145228520/photo/portrait-of-young-woman-driving-a-car.jpg?s=612x612&amp;w=0&amp;k=20&amp;c=QpVXLC2BrxTgKw6waM_4Yal2NsX5H_w_vnwzVf6Cctg=","Link")</f>
        <v>Link</v>
      </c>
      <c r="C171" t="s">
        <v>12</v>
      </c>
      <c r="D171" t="s">
        <v>9</v>
      </c>
      <c r="E171" t="s">
        <v>15</v>
      </c>
    </row>
    <row r="172" spans="1:5" x14ac:dyDescent="0.3">
      <c r="A172" t="s">
        <v>4</v>
      </c>
      <c r="B172" s="1" t="str">
        <f>HYPERLINK("https://media.istockphoto.com/id/1253803240/photo/go-wherever-your-wheels-take-you.jpg?s=612x612&amp;w=0&amp;k=20&amp;c=lxKV5r_N145eS23SbxUOV4pJuHN9GINR60guttRujFk=","Link")</f>
        <v>Link</v>
      </c>
      <c r="C172" t="s">
        <v>11</v>
      </c>
      <c r="D172" t="s">
        <v>5</v>
      </c>
      <c r="E172" t="s">
        <v>15</v>
      </c>
    </row>
    <row r="173" spans="1:5" x14ac:dyDescent="0.3">
      <c r="A173" t="s">
        <v>4</v>
      </c>
      <c r="B173" s="1" t="str">
        <f>HYPERLINK("https://media.istockphoto.com/id/1253803240/photo/go-wherever-your-wheels-take-you.jpg?s=612x612&amp;w=0&amp;k=20&amp;c=lxKV5r_N145eS23SbxUOV4pJuHN9GINR60guttRujFk=","Link")</f>
        <v>Link</v>
      </c>
      <c r="C173" t="s">
        <v>12</v>
      </c>
      <c r="D173" t="s">
        <v>6</v>
      </c>
      <c r="E173" t="s">
        <v>15</v>
      </c>
    </row>
    <row r="174" spans="1:5" x14ac:dyDescent="0.3">
      <c r="A174" t="s">
        <v>4</v>
      </c>
      <c r="B174" s="1" t="str">
        <f>HYPERLINK("https://media.istockphoto.com/id/1253803240/photo/go-wherever-your-wheels-take-you.jpg?s=612x612&amp;w=0&amp;k=20&amp;c=lxKV5r_N145eS23SbxUOV4pJuHN9GINR60guttRujFk=","Link")</f>
        <v>Link</v>
      </c>
      <c r="C174" t="s">
        <v>12</v>
      </c>
      <c r="D174" t="s">
        <v>7</v>
      </c>
      <c r="E174" t="s">
        <v>15</v>
      </c>
    </row>
    <row r="175" spans="1:5" x14ac:dyDescent="0.3">
      <c r="A175" t="s">
        <v>4</v>
      </c>
      <c r="B175" s="1" t="str">
        <f>HYPERLINK("https://media.istockphoto.com/id/1253803240/photo/go-wherever-your-wheels-take-you.jpg?s=612x612&amp;w=0&amp;k=20&amp;c=lxKV5r_N145eS23SbxUOV4pJuHN9GINR60guttRujFk=","Link")</f>
        <v>Link</v>
      </c>
      <c r="C175" t="s">
        <v>12</v>
      </c>
      <c r="D175" t="s">
        <v>8</v>
      </c>
      <c r="E175" t="s">
        <v>15</v>
      </c>
    </row>
    <row r="176" spans="1:5" x14ac:dyDescent="0.3">
      <c r="A176" t="s">
        <v>4</v>
      </c>
      <c r="B176" s="1" t="str">
        <f>HYPERLINK("https://media.istockphoto.com/id/1253803240/photo/go-wherever-your-wheels-take-you.jpg?s=612x612&amp;w=0&amp;k=20&amp;c=lxKV5r_N145eS23SbxUOV4pJuHN9GINR60guttRujFk=","Link")</f>
        <v>Link</v>
      </c>
      <c r="C176" t="s">
        <v>12</v>
      </c>
      <c r="D176" t="s">
        <v>9</v>
      </c>
      <c r="E176" t="s">
        <v>15</v>
      </c>
    </row>
    <row r="177" spans="1:5" x14ac:dyDescent="0.3">
      <c r="A177" t="s">
        <v>4</v>
      </c>
      <c r="B177" s="1" t="str">
        <f>HYPERLINK("https://media.istockphoto.com/id/1128536350/photo/portrait-of-caucasian-bearded-businessman-in-formal-wear-driving-car.jpg?s=612x612&amp;w=0&amp;k=20&amp;c=odnEtzYhse03VADGr9VbX46PspzRLkbpw4CqyWJPq9o=","Link")</f>
        <v>Link</v>
      </c>
      <c r="C177" t="s">
        <v>11</v>
      </c>
      <c r="D177" t="s">
        <v>5</v>
      </c>
      <c r="E177" t="s">
        <v>15</v>
      </c>
    </row>
    <row r="178" spans="1:5" x14ac:dyDescent="0.3">
      <c r="A178" t="s">
        <v>4</v>
      </c>
      <c r="B178" s="1" t="str">
        <f>HYPERLINK("https://media.istockphoto.com/id/1128536350/photo/portrait-of-caucasian-bearded-businessman-in-formal-wear-driving-car.jpg?s=612x612&amp;w=0&amp;k=20&amp;c=odnEtzYhse03VADGr9VbX46PspzRLkbpw4CqyWJPq9o=","Link")</f>
        <v>Link</v>
      </c>
      <c r="C178" t="s">
        <v>12</v>
      </c>
      <c r="D178" t="s">
        <v>6</v>
      </c>
      <c r="E178" t="s">
        <v>15</v>
      </c>
    </row>
    <row r="179" spans="1:5" x14ac:dyDescent="0.3">
      <c r="A179" t="s">
        <v>4</v>
      </c>
      <c r="B179" s="1" t="str">
        <f>HYPERLINK("https://media.istockphoto.com/id/1128536350/photo/portrait-of-caucasian-bearded-businessman-in-formal-wear-driving-car.jpg?s=612x612&amp;w=0&amp;k=20&amp;c=odnEtzYhse03VADGr9VbX46PspzRLkbpw4CqyWJPq9o=","Link")</f>
        <v>Link</v>
      </c>
      <c r="C179" t="s">
        <v>12</v>
      </c>
      <c r="D179" t="s">
        <v>7</v>
      </c>
      <c r="E179" t="s">
        <v>15</v>
      </c>
    </row>
    <row r="180" spans="1:5" x14ac:dyDescent="0.3">
      <c r="A180" t="s">
        <v>4</v>
      </c>
      <c r="B180" s="1" t="str">
        <f>HYPERLINK("https://media.istockphoto.com/id/1128536350/photo/portrait-of-caucasian-bearded-businessman-in-formal-wear-driving-car.jpg?s=612x612&amp;w=0&amp;k=20&amp;c=odnEtzYhse03VADGr9VbX46PspzRLkbpw4CqyWJPq9o=","Link")</f>
        <v>Link</v>
      </c>
      <c r="C180" t="s">
        <v>12</v>
      </c>
      <c r="D180" t="s">
        <v>8</v>
      </c>
      <c r="E180" t="s">
        <v>15</v>
      </c>
    </row>
    <row r="181" spans="1:5" x14ac:dyDescent="0.3">
      <c r="A181" t="s">
        <v>4</v>
      </c>
      <c r="B181" s="1" t="str">
        <f>HYPERLINK("https://media.istockphoto.com/id/1128536350/photo/portrait-of-caucasian-bearded-businessman-in-formal-wear-driving-car.jpg?s=612x612&amp;w=0&amp;k=20&amp;c=odnEtzYhse03VADGr9VbX46PspzRLkbpw4CqyWJPq9o=","Link")</f>
        <v>Link</v>
      </c>
      <c r="C181" t="s">
        <v>12</v>
      </c>
      <c r="D181" t="s">
        <v>9</v>
      </c>
      <c r="E181" t="s">
        <v>15</v>
      </c>
    </row>
    <row r="182" spans="1:5" x14ac:dyDescent="0.3">
      <c r="A182" t="s">
        <v>4</v>
      </c>
      <c r="B182" s="1" t="str">
        <f>HYPERLINK("https://media.istockphoto.com/id/1215841341/photo/commuting.jpg?s=612x612&amp;w=0&amp;k=20&amp;c=5SQC5NeoxkHk6HYyjvSW8c4vXQW6q5xZrCvYq-GDPGo=","Link")</f>
        <v>Link</v>
      </c>
      <c r="C182" t="s">
        <v>11</v>
      </c>
      <c r="D182" t="s">
        <v>5</v>
      </c>
      <c r="E182" t="s">
        <v>15</v>
      </c>
    </row>
    <row r="183" spans="1:5" x14ac:dyDescent="0.3">
      <c r="A183" t="s">
        <v>4</v>
      </c>
      <c r="B183" s="1" t="str">
        <f>HYPERLINK("https://media.istockphoto.com/id/1215841341/photo/commuting.jpg?s=612x612&amp;w=0&amp;k=20&amp;c=5SQC5NeoxkHk6HYyjvSW8c4vXQW6q5xZrCvYq-GDPGo=","Link")</f>
        <v>Link</v>
      </c>
      <c r="C183" t="s">
        <v>12</v>
      </c>
      <c r="D183" t="s">
        <v>6</v>
      </c>
      <c r="E183" t="s">
        <v>15</v>
      </c>
    </row>
    <row r="184" spans="1:5" x14ac:dyDescent="0.3">
      <c r="A184" t="s">
        <v>4</v>
      </c>
      <c r="B184" s="1" t="str">
        <f>HYPERLINK("https://media.istockphoto.com/id/1215841341/photo/commuting.jpg?s=612x612&amp;w=0&amp;k=20&amp;c=5SQC5NeoxkHk6HYyjvSW8c4vXQW6q5xZrCvYq-GDPGo=","Link")</f>
        <v>Link</v>
      </c>
      <c r="C184" t="s">
        <v>12</v>
      </c>
      <c r="D184" t="s">
        <v>7</v>
      </c>
      <c r="E184" t="s">
        <v>15</v>
      </c>
    </row>
    <row r="185" spans="1:5" x14ac:dyDescent="0.3">
      <c r="A185" t="s">
        <v>4</v>
      </c>
      <c r="B185" s="1" t="str">
        <f>HYPERLINK("https://media.istockphoto.com/id/1215841341/photo/commuting.jpg?s=612x612&amp;w=0&amp;k=20&amp;c=5SQC5NeoxkHk6HYyjvSW8c4vXQW6q5xZrCvYq-GDPGo=","Link")</f>
        <v>Link</v>
      </c>
      <c r="C185" t="s">
        <v>12</v>
      </c>
      <c r="D185" t="s">
        <v>8</v>
      </c>
      <c r="E185" t="s">
        <v>15</v>
      </c>
    </row>
    <row r="186" spans="1:5" x14ac:dyDescent="0.3">
      <c r="A186" t="s">
        <v>4</v>
      </c>
      <c r="B186" s="1" t="str">
        <f>HYPERLINK("https://media.istockphoto.com/id/1215841341/photo/commuting.jpg?s=612x612&amp;w=0&amp;k=20&amp;c=5SQC5NeoxkHk6HYyjvSW8c4vXQW6q5xZrCvYq-GDPGo=","Link")</f>
        <v>Link</v>
      </c>
      <c r="C186" t="s">
        <v>12</v>
      </c>
      <c r="D186" t="s">
        <v>9</v>
      </c>
      <c r="E186" t="s">
        <v>15</v>
      </c>
    </row>
    <row r="187" spans="1:5" x14ac:dyDescent="0.3">
      <c r="A187" t="s">
        <v>4</v>
      </c>
      <c r="B187" s="1" t="str">
        <f>HYPERLINK("https://media.istockphoto.com/id/2166802770/photo/businessman-driving-car-in-the-city-during-daylight.jpg?s=612x612&amp;w=0&amp;k=20&amp;c=7h0T6chBtdn9EpY8lOxdO3WDk7a3cPIFz_FM2Bt27Vk=","Link")</f>
        <v>Link</v>
      </c>
      <c r="C187" t="s">
        <v>11</v>
      </c>
      <c r="D187" t="s">
        <v>5</v>
      </c>
      <c r="E187" t="s">
        <v>15</v>
      </c>
    </row>
    <row r="188" spans="1:5" x14ac:dyDescent="0.3">
      <c r="A188" t="s">
        <v>4</v>
      </c>
      <c r="B188" s="1" t="str">
        <f>HYPERLINK("https://media.istockphoto.com/id/2166802770/photo/businessman-driving-car-in-the-city-during-daylight.jpg?s=612x612&amp;w=0&amp;k=20&amp;c=7h0T6chBtdn9EpY8lOxdO3WDk7a3cPIFz_FM2Bt27Vk=","Link")</f>
        <v>Link</v>
      </c>
      <c r="C188" t="s">
        <v>12</v>
      </c>
      <c r="D188" t="s">
        <v>6</v>
      </c>
      <c r="E188" t="s">
        <v>15</v>
      </c>
    </row>
    <row r="189" spans="1:5" x14ac:dyDescent="0.3">
      <c r="A189" t="s">
        <v>4</v>
      </c>
      <c r="B189" s="1" t="str">
        <f>HYPERLINK("https://media.istockphoto.com/id/2166802770/photo/businessman-driving-car-in-the-city-during-daylight.jpg?s=612x612&amp;w=0&amp;k=20&amp;c=7h0T6chBtdn9EpY8lOxdO3WDk7a3cPIFz_FM2Bt27Vk=","Link")</f>
        <v>Link</v>
      </c>
      <c r="C189" t="s">
        <v>12</v>
      </c>
      <c r="D189" t="s">
        <v>7</v>
      </c>
      <c r="E189" t="s">
        <v>15</v>
      </c>
    </row>
    <row r="190" spans="1:5" x14ac:dyDescent="0.3">
      <c r="A190" t="s">
        <v>4</v>
      </c>
      <c r="B190" s="1" t="str">
        <f>HYPERLINK("https://media.istockphoto.com/id/2166802770/photo/businessman-driving-car-in-the-city-during-daylight.jpg?s=612x612&amp;w=0&amp;k=20&amp;c=7h0T6chBtdn9EpY8lOxdO3WDk7a3cPIFz_FM2Bt27Vk=","Link")</f>
        <v>Link</v>
      </c>
      <c r="C190" t="s">
        <v>12</v>
      </c>
      <c r="D190" t="s">
        <v>8</v>
      </c>
      <c r="E190" t="s">
        <v>15</v>
      </c>
    </row>
    <row r="191" spans="1:5" x14ac:dyDescent="0.3">
      <c r="A191" t="s">
        <v>4</v>
      </c>
      <c r="B191" s="1" t="str">
        <f>HYPERLINK("https://media.istockphoto.com/id/2166802770/photo/businessman-driving-car-in-the-city-during-daylight.jpg?s=612x612&amp;w=0&amp;k=20&amp;c=7h0T6chBtdn9EpY8lOxdO3WDk7a3cPIFz_FM2Bt27Vk=","Link")</f>
        <v>Link</v>
      </c>
      <c r="C191" t="s">
        <v>12</v>
      </c>
      <c r="D191" t="s">
        <v>9</v>
      </c>
      <c r="E191" t="s">
        <v>15</v>
      </c>
    </row>
    <row r="192" spans="1:5" x14ac:dyDescent="0.3">
      <c r="A192" t="s">
        <v>4</v>
      </c>
      <c r="B192" s="1" t="str">
        <f>HYPERLINK("https://media.istockphoto.com/id/2179930263/photo/woman-driving-out-of-a-car-repair-shop-driver-hand-holding-steering-wheel-for-control-car.jpg?s=612x612&amp;w=0&amp;k=20&amp;c=Rg0h-CAGLQ_w9xcgsOh4NrJBXNsaQ4tR_1j8QnycLY8=","Link")</f>
        <v>Link</v>
      </c>
      <c r="C192" t="s">
        <v>11</v>
      </c>
      <c r="D192" t="s">
        <v>5</v>
      </c>
      <c r="E192" t="s">
        <v>15</v>
      </c>
    </row>
    <row r="193" spans="1:5" x14ac:dyDescent="0.3">
      <c r="A193" t="s">
        <v>4</v>
      </c>
      <c r="B193" s="1" t="str">
        <f>HYPERLINK("https://media.istockphoto.com/id/2179930263/photo/woman-driving-out-of-a-car-repair-shop-driver-hand-holding-steering-wheel-for-control-car.jpg?s=612x612&amp;w=0&amp;k=20&amp;c=Rg0h-CAGLQ_w9xcgsOh4NrJBXNsaQ4tR_1j8QnycLY8=","Link")</f>
        <v>Link</v>
      </c>
      <c r="C193" t="s">
        <v>12</v>
      </c>
      <c r="D193" t="s">
        <v>6</v>
      </c>
      <c r="E193" t="s">
        <v>15</v>
      </c>
    </row>
    <row r="194" spans="1:5" x14ac:dyDescent="0.3">
      <c r="A194" t="s">
        <v>4</v>
      </c>
      <c r="B194" s="1" t="str">
        <f>HYPERLINK("https://media.istockphoto.com/id/2179930263/photo/woman-driving-out-of-a-car-repair-shop-driver-hand-holding-steering-wheel-for-control-car.jpg?s=612x612&amp;w=0&amp;k=20&amp;c=Rg0h-CAGLQ_w9xcgsOh4NrJBXNsaQ4tR_1j8QnycLY8=","Link")</f>
        <v>Link</v>
      </c>
      <c r="C194" t="s">
        <v>12</v>
      </c>
      <c r="D194" t="s">
        <v>7</v>
      </c>
      <c r="E194" t="s">
        <v>15</v>
      </c>
    </row>
    <row r="195" spans="1:5" x14ac:dyDescent="0.3">
      <c r="A195" t="s">
        <v>4</v>
      </c>
      <c r="B195" s="1" t="str">
        <f>HYPERLINK("https://media.istockphoto.com/id/2179930263/photo/woman-driving-out-of-a-car-repair-shop-driver-hand-holding-steering-wheel-for-control-car.jpg?s=612x612&amp;w=0&amp;k=20&amp;c=Rg0h-CAGLQ_w9xcgsOh4NrJBXNsaQ4tR_1j8QnycLY8=","Link")</f>
        <v>Link</v>
      </c>
      <c r="C195" t="s">
        <v>12</v>
      </c>
      <c r="D195" t="s">
        <v>8</v>
      </c>
      <c r="E195" t="s">
        <v>15</v>
      </c>
    </row>
    <row r="196" spans="1:5" x14ac:dyDescent="0.3">
      <c r="A196" t="s">
        <v>4</v>
      </c>
      <c r="B196" s="1" t="str">
        <f>HYPERLINK("https://media.istockphoto.com/id/2179930263/photo/woman-driving-out-of-a-car-repair-shop-driver-hand-holding-steering-wheel-for-control-car.jpg?s=612x612&amp;w=0&amp;k=20&amp;c=Rg0h-CAGLQ_w9xcgsOh4NrJBXNsaQ4tR_1j8QnycLY8=","Link")</f>
        <v>Link</v>
      </c>
      <c r="C196" t="s">
        <v>12</v>
      </c>
      <c r="D196" t="s">
        <v>9</v>
      </c>
      <c r="E196" t="s">
        <v>15</v>
      </c>
    </row>
    <row r="197" spans="1:5" x14ac:dyDescent="0.3">
      <c r="A197" t="s">
        <v>4</v>
      </c>
      <c r="B197" s="1" t="str">
        <f>HYPERLINK("https://media.istockphoto.com/id/1582802918/photo/young-woman-taking-her-driving-test.jpg?s=612x612&amp;w=0&amp;k=20&amp;c=LlQXk5yQ80x0BmY228QfTAOcPzJf_yO_stlKcQvSo6s=","Link")</f>
        <v>Link</v>
      </c>
      <c r="C197" t="s">
        <v>11</v>
      </c>
      <c r="D197" t="s">
        <v>5</v>
      </c>
      <c r="E197" t="s">
        <v>15</v>
      </c>
    </row>
    <row r="198" spans="1:5" x14ac:dyDescent="0.3">
      <c r="A198" t="s">
        <v>4</v>
      </c>
      <c r="B198" s="1" t="str">
        <f>HYPERLINK("https://media.istockphoto.com/id/1582802918/photo/young-woman-taking-her-driving-test.jpg?s=612x612&amp;w=0&amp;k=20&amp;c=LlQXk5yQ80x0BmY228QfTAOcPzJf_yO_stlKcQvSo6s=","Link")</f>
        <v>Link</v>
      </c>
      <c r="C198" t="s">
        <v>12</v>
      </c>
      <c r="D198" t="s">
        <v>6</v>
      </c>
      <c r="E198" t="s">
        <v>15</v>
      </c>
    </row>
    <row r="199" spans="1:5" x14ac:dyDescent="0.3">
      <c r="A199" t="s">
        <v>4</v>
      </c>
      <c r="B199" s="1" t="str">
        <f>HYPERLINK("https://media.istockphoto.com/id/1582802918/photo/young-woman-taking-her-driving-test.jpg?s=612x612&amp;w=0&amp;k=20&amp;c=LlQXk5yQ80x0BmY228QfTAOcPzJf_yO_stlKcQvSo6s=","Link")</f>
        <v>Link</v>
      </c>
      <c r="C199" t="s">
        <v>12</v>
      </c>
      <c r="D199" t="s">
        <v>7</v>
      </c>
      <c r="E199" t="s">
        <v>15</v>
      </c>
    </row>
    <row r="200" spans="1:5" x14ac:dyDescent="0.3">
      <c r="A200" t="s">
        <v>4</v>
      </c>
      <c r="B200" s="1" t="str">
        <f>HYPERLINK("https://media.istockphoto.com/id/1582802918/photo/young-woman-taking-her-driving-test.jpg?s=612x612&amp;w=0&amp;k=20&amp;c=LlQXk5yQ80x0BmY228QfTAOcPzJf_yO_stlKcQvSo6s=","Link")</f>
        <v>Link</v>
      </c>
      <c r="C200" t="s">
        <v>12</v>
      </c>
      <c r="D200" t="s">
        <v>8</v>
      </c>
      <c r="E200" t="s">
        <v>15</v>
      </c>
    </row>
    <row r="201" spans="1:5" x14ac:dyDescent="0.3">
      <c r="A201" t="s">
        <v>4</v>
      </c>
      <c r="B201" s="1" t="str">
        <f>HYPERLINK("https://media.istockphoto.com/id/1582802918/photo/young-woman-taking-her-driving-test.jpg?s=612x612&amp;w=0&amp;k=20&amp;c=LlQXk5yQ80x0BmY228QfTAOcPzJf_yO_stlKcQvSo6s=","Link")</f>
        <v>Link</v>
      </c>
      <c r="C201" t="s">
        <v>12</v>
      </c>
      <c r="D201" t="s">
        <v>9</v>
      </c>
      <c r="E201" t="s">
        <v>15</v>
      </c>
    </row>
    <row r="202" spans="1:5" x14ac:dyDescent="0.3">
      <c r="A202" t="s">
        <v>4</v>
      </c>
      <c r="B202" s="1" t="str">
        <f>HYPERLINK("https://media.istockphoto.com/id/1650662750/photo/enjoying-her-new-car.jpg?s=612x612&amp;w=0&amp;k=20&amp;c=TfSE1X9T0carvYRH3pmZhVpZ9m8DQ_IfM0PcNmx3LXA=","Link")</f>
        <v>Link</v>
      </c>
      <c r="C202" t="s">
        <v>11</v>
      </c>
      <c r="D202" t="s">
        <v>5</v>
      </c>
      <c r="E202" t="s">
        <v>15</v>
      </c>
    </row>
    <row r="203" spans="1:5" x14ac:dyDescent="0.3">
      <c r="A203" t="s">
        <v>4</v>
      </c>
      <c r="B203" s="1" t="str">
        <f>HYPERLINK("https://media.istockphoto.com/id/1650662750/photo/enjoying-her-new-car.jpg?s=612x612&amp;w=0&amp;k=20&amp;c=TfSE1X9T0carvYRH3pmZhVpZ9m8DQ_IfM0PcNmx3LXA=","Link")</f>
        <v>Link</v>
      </c>
      <c r="C203" t="s">
        <v>12</v>
      </c>
      <c r="D203" t="s">
        <v>6</v>
      </c>
      <c r="E203" t="s">
        <v>15</v>
      </c>
    </row>
    <row r="204" spans="1:5" x14ac:dyDescent="0.3">
      <c r="A204" t="s">
        <v>4</v>
      </c>
      <c r="B204" s="1" t="str">
        <f>HYPERLINK("https://media.istockphoto.com/id/1650662750/photo/enjoying-her-new-car.jpg?s=612x612&amp;w=0&amp;k=20&amp;c=TfSE1X9T0carvYRH3pmZhVpZ9m8DQ_IfM0PcNmx3LXA=","Link")</f>
        <v>Link</v>
      </c>
      <c r="C204" t="s">
        <v>12</v>
      </c>
      <c r="D204" t="s">
        <v>7</v>
      </c>
      <c r="E204" t="s">
        <v>15</v>
      </c>
    </row>
    <row r="205" spans="1:5" x14ac:dyDescent="0.3">
      <c r="A205" t="s">
        <v>4</v>
      </c>
      <c r="B205" s="1" t="str">
        <f>HYPERLINK("https://media.istockphoto.com/id/1650662750/photo/enjoying-her-new-car.jpg?s=612x612&amp;w=0&amp;k=20&amp;c=TfSE1X9T0carvYRH3pmZhVpZ9m8DQ_IfM0PcNmx3LXA=","Link")</f>
        <v>Link</v>
      </c>
      <c r="C205" t="s">
        <v>12</v>
      </c>
      <c r="D205" t="s">
        <v>8</v>
      </c>
      <c r="E205" t="s">
        <v>15</v>
      </c>
    </row>
    <row r="206" spans="1:5" x14ac:dyDescent="0.3">
      <c r="A206" t="s">
        <v>4</v>
      </c>
      <c r="B206" s="1" t="str">
        <f>HYPERLINK("https://media.istockphoto.com/id/1650662750/photo/enjoying-her-new-car.jpg?s=612x612&amp;w=0&amp;k=20&amp;c=TfSE1X9T0carvYRH3pmZhVpZ9m8DQ_IfM0PcNmx3LXA=","Link")</f>
        <v>Link</v>
      </c>
      <c r="C206" t="s">
        <v>12</v>
      </c>
      <c r="D206" t="s">
        <v>9</v>
      </c>
      <c r="E206" t="s">
        <v>15</v>
      </c>
    </row>
    <row r="207" spans="1:5" x14ac:dyDescent="0.3">
      <c r="A207" t="s">
        <v>4</v>
      </c>
      <c r="B207" s="1" t="str">
        <f>HYPERLINK("https://images.freeimages.com/variants/YiFTAkgKPdWaYJHJW1ovEFYT/f4a36f6589a0e50e702740b15352bc00e4bfaf6f58bd4db850e167794d05993d?fmt=webp&amp;w=500","Link")</f>
        <v>Link</v>
      </c>
      <c r="C207" t="s">
        <v>11</v>
      </c>
      <c r="D207" t="s">
        <v>5</v>
      </c>
      <c r="E207" t="s">
        <v>15</v>
      </c>
    </row>
    <row r="208" spans="1:5" x14ac:dyDescent="0.3">
      <c r="A208" t="s">
        <v>4</v>
      </c>
      <c r="B208" s="1" t="str">
        <f>HYPERLINK("https://images.freeimages.com/variants/YiFTAkgKPdWaYJHJW1ovEFYT/f4a36f6589a0e50e702740b15352bc00e4bfaf6f58bd4db850e167794d05993d?fmt=webp&amp;w=500","Link")</f>
        <v>Link</v>
      </c>
      <c r="C208" t="s">
        <v>12</v>
      </c>
      <c r="D208" t="s">
        <v>6</v>
      </c>
      <c r="E208" t="s">
        <v>15</v>
      </c>
    </row>
    <row r="209" spans="1:5" x14ac:dyDescent="0.3">
      <c r="A209" t="s">
        <v>4</v>
      </c>
      <c r="B209" s="1" t="str">
        <f>HYPERLINK("https://images.freeimages.com/variants/YiFTAkgKPdWaYJHJW1ovEFYT/f4a36f6589a0e50e702740b15352bc00e4bfaf6f58bd4db850e167794d05993d?fmt=webp&amp;w=500","Link")</f>
        <v>Link</v>
      </c>
      <c r="C209" t="s">
        <v>12</v>
      </c>
      <c r="D209" t="s">
        <v>7</v>
      </c>
      <c r="E209" t="s">
        <v>15</v>
      </c>
    </row>
    <row r="210" spans="1:5" x14ac:dyDescent="0.3">
      <c r="A210" t="s">
        <v>4</v>
      </c>
      <c r="B210" s="1" t="str">
        <f>HYPERLINK("https://images.freeimages.com/variants/YiFTAkgKPdWaYJHJW1ovEFYT/f4a36f6589a0e50e702740b15352bc00e4bfaf6f58bd4db850e167794d05993d?fmt=webp&amp;w=500","Link")</f>
        <v>Link</v>
      </c>
      <c r="C210" t="s">
        <v>12</v>
      </c>
      <c r="D210" t="s">
        <v>8</v>
      </c>
      <c r="E210" t="s">
        <v>15</v>
      </c>
    </row>
    <row r="211" spans="1:5" x14ac:dyDescent="0.3">
      <c r="A211" t="s">
        <v>4</v>
      </c>
      <c r="B211" s="1" t="str">
        <f>HYPERLINK("https://images.freeimages.com/variants/YiFTAkgKPdWaYJHJW1ovEFYT/f4a36f6589a0e50e702740b15352bc00e4bfaf6f58bd4db850e167794d05993d?fmt=webp&amp;w=500","Link")</f>
        <v>Link</v>
      </c>
      <c r="C211" t="s">
        <v>12</v>
      </c>
      <c r="D211" t="s">
        <v>9</v>
      </c>
      <c r="E211" t="s">
        <v>15</v>
      </c>
    </row>
    <row r="212" spans="1:5" x14ac:dyDescent="0.3">
      <c r="A212" t="s">
        <v>4</v>
      </c>
      <c r="B212" s="1" t="str">
        <f>HYPERLINK("https://media.istockphoto.com/id/2135128303/photo/young-delivery-truck-driver-with-tattoo-driving-the-car.webp?b=1&amp;s=612x612&amp;w=0&amp;k=20&amp;c=uGx-PYySW2rmgCGwnn-VqC2yWT3Rlgllvm08fMZ3OLw=","Link")</f>
        <v>Link</v>
      </c>
      <c r="C212" t="s">
        <v>11</v>
      </c>
      <c r="D212" t="s">
        <v>5</v>
      </c>
      <c r="E212" t="s">
        <v>15</v>
      </c>
    </row>
    <row r="213" spans="1:5" x14ac:dyDescent="0.3">
      <c r="A213" t="s">
        <v>4</v>
      </c>
      <c r="B213" s="1" t="str">
        <f>HYPERLINK("https://media.istockphoto.com/id/2135128303/photo/young-delivery-truck-driver-with-tattoo-driving-the-car.webp?b=1&amp;s=612x612&amp;w=0&amp;k=20&amp;c=uGx-PYySW2rmgCGwnn-VqC2yWT3Rlgllvm08fMZ3OLw=","Link")</f>
        <v>Link</v>
      </c>
      <c r="C213" t="s">
        <v>12</v>
      </c>
      <c r="D213" t="s">
        <v>6</v>
      </c>
      <c r="E213" t="s">
        <v>15</v>
      </c>
    </row>
    <row r="214" spans="1:5" x14ac:dyDescent="0.3">
      <c r="A214" t="s">
        <v>4</v>
      </c>
      <c r="B214" s="1" t="str">
        <f>HYPERLINK("https://media.istockphoto.com/id/2135128303/photo/young-delivery-truck-driver-with-tattoo-driving-the-car.webp?b=1&amp;s=612x612&amp;w=0&amp;k=20&amp;c=uGx-PYySW2rmgCGwnn-VqC2yWT3Rlgllvm08fMZ3OLw=","Link")</f>
        <v>Link</v>
      </c>
      <c r="C214" t="s">
        <v>12</v>
      </c>
      <c r="D214" t="s">
        <v>7</v>
      </c>
      <c r="E214" t="s">
        <v>15</v>
      </c>
    </row>
    <row r="215" spans="1:5" x14ac:dyDescent="0.3">
      <c r="A215" t="s">
        <v>4</v>
      </c>
      <c r="B215" s="1" t="str">
        <f>HYPERLINK("https://media.istockphoto.com/id/2135128303/photo/young-delivery-truck-driver-with-tattoo-driving-the-car.webp?b=1&amp;s=612x612&amp;w=0&amp;k=20&amp;c=uGx-PYySW2rmgCGwnn-VqC2yWT3Rlgllvm08fMZ3OLw=","Link")</f>
        <v>Link</v>
      </c>
      <c r="C215" t="s">
        <v>12</v>
      </c>
      <c r="D215" t="s">
        <v>8</v>
      </c>
      <c r="E215" t="s">
        <v>15</v>
      </c>
    </row>
    <row r="216" spans="1:5" x14ac:dyDescent="0.3">
      <c r="A216" t="s">
        <v>4</v>
      </c>
      <c r="B216" s="1" t="str">
        <f>HYPERLINK("https://media.istockphoto.com/id/2135128303/photo/young-delivery-truck-driver-with-tattoo-driving-the-car.webp?b=1&amp;s=612x612&amp;w=0&amp;k=20&amp;c=uGx-PYySW2rmgCGwnn-VqC2yWT3Rlgllvm08fMZ3OLw=","Link")</f>
        <v>Link</v>
      </c>
      <c r="C216" t="s">
        <v>12</v>
      </c>
      <c r="D216" t="s">
        <v>9</v>
      </c>
      <c r="E216" t="s">
        <v>15</v>
      </c>
    </row>
    <row r="217" spans="1:5" x14ac:dyDescent="0.3">
      <c r="A217" t="s">
        <v>4</v>
      </c>
      <c r="B217" s="1" t="str">
        <f>HYPERLINK("https://images.freeimages.com/variants/gxg1mVsJQgGoeGTGbJb3tUnT/f4a36f6589a0e50e702740b15352bc00e4bfaf6f58bd4db850e167794d05993d?fmt=webp&amp;w=500","Link")</f>
        <v>Link</v>
      </c>
      <c r="C217" t="s">
        <v>11</v>
      </c>
      <c r="D217" t="s">
        <v>5</v>
      </c>
      <c r="E217" t="s">
        <v>15</v>
      </c>
    </row>
    <row r="218" spans="1:5" x14ac:dyDescent="0.3">
      <c r="A218" t="s">
        <v>4</v>
      </c>
      <c r="B218" s="1" t="str">
        <f>HYPERLINK("https://images.freeimages.com/variants/gxg1mVsJQgGoeGTGbJb3tUnT/f4a36f6589a0e50e702740b15352bc00e4bfaf6f58bd4db850e167794d05993d?fmt=webp&amp;w=500","Link")</f>
        <v>Link</v>
      </c>
      <c r="C218" t="s">
        <v>12</v>
      </c>
      <c r="D218" t="s">
        <v>6</v>
      </c>
      <c r="E218" t="s">
        <v>15</v>
      </c>
    </row>
    <row r="219" spans="1:5" x14ac:dyDescent="0.3">
      <c r="A219" t="s">
        <v>4</v>
      </c>
      <c r="B219" s="1" t="str">
        <f>HYPERLINK("https://images.freeimages.com/variants/gxg1mVsJQgGoeGTGbJb3tUnT/f4a36f6589a0e50e702740b15352bc00e4bfaf6f58bd4db850e167794d05993d?fmt=webp&amp;w=500","Link")</f>
        <v>Link</v>
      </c>
      <c r="C219" t="s">
        <v>12</v>
      </c>
      <c r="D219" t="s">
        <v>7</v>
      </c>
      <c r="E219" t="s">
        <v>15</v>
      </c>
    </row>
    <row r="220" spans="1:5" x14ac:dyDescent="0.3">
      <c r="A220" t="s">
        <v>4</v>
      </c>
      <c r="B220" s="1" t="str">
        <f>HYPERLINK("https://images.freeimages.com/variants/gxg1mVsJQgGoeGTGbJb3tUnT/f4a36f6589a0e50e702740b15352bc00e4bfaf6f58bd4db850e167794d05993d?fmt=webp&amp;w=500","Link")</f>
        <v>Link</v>
      </c>
      <c r="C220" t="s">
        <v>12</v>
      </c>
      <c r="D220" t="s">
        <v>8</v>
      </c>
      <c r="E220" t="s">
        <v>15</v>
      </c>
    </row>
    <row r="221" spans="1:5" x14ac:dyDescent="0.3">
      <c r="A221" t="s">
        <v>4</v>
      </c>
      <c r="B221" s="1" t="str">
        <f>HYPERLINK("https://images.freeimages.com/variants/gxg1mVsJQgGoeGTGbJb3tUnT/f4a36f6589a0e50e702740b15352bc00e4bfaf6f58bd4db850e167794d05993d?fmt=webp&amp;w=500","Link")</f>
        <v>Link</v>
      </c>
      <c r="C221" t="s">
        <v>12</v>
      </c>
      <c r="D221" t="s">
        <v>9</v>
      </c>
      <c r="E221" t="s">
        <v>15</v>
      </c>
    </row>
    <row r="222" spans="1:5" x14ac:dyDescent="0.3">
      <c r="A222" t="s">
        <v>4</v>
      </c>
      <c r="B222" s="1" t="str">
        <f>HYPERLINK("https://media.istockphoto.com/id/1209837680/photo/businessman-driving-car.jpg?s=612x612&amp;w=0&amp;k=20&amp;c=GlmN0odmx-jAi1G84NkR1rt3nWGVYkBsgOb6d2W_8r4=","Link")</f>
        <v>Link</v>
      </c>
      <c r="C222" t="s">
        <v>11</v>
      </c>
      <c r="D222" t="s">
        <v>5</v>
      </c>
      <c r="E222" t="s">
        <v>15</v>
      </c>
    </row>
    <row r="223" spans="1:5" x14ac:dyDescent="0.3">
      <c r="A223" t="s">
        <v>4</v>
      </c>
      <c r="B223" s="1" t="str">
        <f>HYPERLINK("https://media.istockphoto.com/id/1209837680/photo/businessman-driving-car.jpg?s=612x612&amp;w=0&amp;k=20&amp;c=GlmN0odmx-jAi1G84NkR1rt3nWGVYkBsgOb6d2W_8r4=","Link")</f>
        <v>Link</v>
      </c>
      <c r="C223" t="s">
        <v>12</v>
      </c>
      <c r="D223" t="s">
        <v>6</v>
      </c>
      <c r="E223" t="s">
        <v>15</v>
      </c>
    </row>
    <row r="224" spans="1:5" x14ac:dyDescent="0.3">
      <c r="A224" t="s">
        <v>4</v>
      </c>
      <c r="B224" s="1" t="str">
        <f>HYPERLINK("https://media.istockphoto.com/id/1209837680/photo/businessman-driving-car.jpg?s=612x612&amp;w=0&amp;k=20&amp;c=GlmN0odmx-jAi1G84NkR1rt3nWGVYkBsgOb6d2W_8r4=","Link")</f>
        <v>Link</v>
      </c>
      <c r="C224" t="s">
        <v>12</v>
      </c>
      <c r="D224" t="s">
        <v>7</v>
      </c>
      <c r="E224" t="s">
        <v>15</v>
      </c>
    </row>
    <row r="225" spans="1:5" x14ac:dyDescent="0.3">
      <c r="A225" t="s">
        <v>4</v>
      </c>
      <c r="B225" s="1" t="str">
        <f>HYPERLINK("https://media.istockphoto.com/id/1209837680/photo/businessman-driving-car.jpg?s=612x612&amp;w=0&amp;k=20&amp;c=GlmN0odmx-jAi1G84NkR1rt3nWGVYkBsgOb6d2W_8r4=","Link")</f>
        <v>Link</v>
      </c>
      <c r="C225" t="s">
        <v>12</v>
      </c>
      <c r="D225" t="s">
        <v>8</v>
      </c>
      <c r="E225" t="s">
        <v>15</v>
      </c>
    </row>
    <row r="226" spans="1:5" x14ac:dyDescent="0.3">
      <c r="A226" t="s">
        <v>4</v>
      </c>
      <c r="B226" s="1" t="str">
        <f>HYPERLINK("https://media.istockphoto.com/id/1209837680/photo/businessman-driving-car.jpg?s=612x612&amp;w=0&amp;k=20&amp;c=GlmN0odmx-jAi1G84NkR1rt3nWGVYkBsgOb6d2W_8r4=","Link")</f>
        <v>Link</v>
      </c>
      <c r="C226" t="s">
        <v>12</v>
      </c>
      <c r="D226" t="s">
        <v>9</v>
      </c>
      <c r="E226" t="s">
        <v>15</v>
      </c>
    </row>
    <row r="227" spans="1:5" x14ac:dyDescent="0.3">
      <c r="A227" t="s">
        <v>4</v>
      </c>
      <c r="B227" s="1" t="str">
        <f>HYPERLINK("https://media.istockphoto.com/id/1180156633/photo/the-daily-commute.jpg?s=612x612&amp;w=0&amp;k=20&amp;c=ne2JSgkEG2_9A8QVpfIb65kWaXXjH4_FBuauoHDkvAU=","Link")</f>
        <v>Link</v>
      </c>
      <c r="C227" t="s">
        <v>11</v>
      </c>
      <c r="D227" t="s">
        <v>5</v>
      </c>
      <c r="E227" t="s">
        <v>15</v>
      </c>
    </row>
    <row r="228" spans="1:5" x14ac:dyDescent="0.3">
      <c r="A228" t="s">
        <v>4</v>
      </c>
      <c r="B228" s="1" t="str">
        <f>HYPERLINK("https://media.istockphoto.com/id/1180156633/photo/the-daily-commute.jpg?s=612x612&amp;w=0&amp;k=20&amp;c=ne2JSgkEG2_9A8QVpfIb65kWaXXjH4_FBuauoHDkvAU=","Link")</f>
        <v>Link</v>
      </c>
      <c r="C228" t="s">
        <v>12</v>
      </c>
      <c r="D228" t="s">
        <v>6</v>
      </c>
      <c r="E228" t="s">
        <v>15</v>
      </c>
    </row>
    <row r="229" spans="1:5" x14ac:dyDescent="0.3">
      <c r="A229" t="s">
        <v>4</v>
      </c>
      <c r="B229" s="1" t="str">
        <f>HYPERLINK("https://media.istockphoto.com/id/1180156633/photo/the-daily-commute.jpg?s=612x612&amp;w=0&amp;k=20&amp;c=ne2JSgkEG2_9A8QVpfIb65kWaXXjH4_FBuauoHDkvAU=","Link")</f>
        <v>Link</v>
      </c>
      <c r="C229" t="s">
        <v>12</v>
      </c>
      <c r="D229" t="s">
        <v>7</v>
      </c>
      <c r="E229" t="s">
        <v>15</v>
      </c>
    </row>
    <row r="230" spans="1:5" x14ac:dyDescent="0.3">
      <c r="A230" t="s">
        <v>4</v>
      </c>
      <c r="B230" s="1" t="str">
        <f>HYPERLINK("https://media.istockphoto.com/id/1180156633/photo/the-daily-commute.jpg?s=612x612&amp;w=0&amp;k=20&amp;c=ne2JSgkEG2_9A8QVpfIb65kWaXXjH4_FBuauoHDkvAU=","Link")</f>
        <v>Link</v>
      </c>
      <c r="C230" t="s">
        <v>12</v>
      </c>
      <c r="D230" t="s">
        <v>8</v>
      </c>
      <c r="E230" t="s">
        <v>15</v>
      </c>
    </row>
    <row r="231" spans="1:5" x14ac:dyDescent="0.3">
      <c r="A231" t="s">
        <v>4</v>
      </c>
      <c r="B231" s="1" t="str">
        <f>HYPERLINK("https://media.istockphoto.com/id/1180156633/photo/the-daily-commute.jpg?s=612x612&amp;w=0&amp;k=20&amp;c=ne2JSgkEG2_9A8QVpfIb65kWaXXjH4_FBuauoHDkvAU=","Link")</f>
        <v>Link</v>
      </c>
      <c r="C231" t="s">
        <v>12</v>
      </c>
      <c r="D231" t="s">
        <v>9</v>
      </c>
      <c r="E231" t="s">
        <v>15</v>
      </c>
    </row>
    <row r="232" spans="1:5" x14ac:dyDescent="0.3">
      <c r="A232" t="s">
        <v>4</v>
      </c>
      <c r="B232" s="1" t="str">
        <f>HYPERLINK("https://media.istockphoto.com/id/1319192546/photo/businessman-driving.jpg?s=612x612&amp;w=0&amp;k=20&amp;c=lJm3XhN8ceVA5mTcJcRPXu35ayBncmAx4cJUyP8q-08=","Link")</f>
        <v>Link</v>
      </c>
      <c r="C232" t="s">
        <v>11</v>
      </c>
      <c r="D232" t="s">
        <v>5</v>
      </c>
      <c r="E232" t="s">
        <v>15</v>
      </c>
    </row>
    <row r="233" spans="1:5" x14ac:dyDescent="0.3">
      <c r="A233" t="s">
        <v>4</v>
      </c>
      <c r="B233" s="1" t="str">
        <f>HYPERLINK("https://media.istockphoto.com/id/1319192546/photo/businessman-driving.jpg?s=612x612&amp;w=0&amp;k=20&amp;c=lJm3XhN8ceVA5mTcJcRPXu35ayBncmAx4cJUyP8q-08=","Link")</f>
        <v>Link</v>
      </c>
      <c r="C233" t="s">
        <v>12</v>
      </c>
      <c r="D233" t="s">
        <v>6</v>
      </c>
      <c r="E233" t="s">
        <v>15</v>
      </c>
    </row>
    <row r="234" spans="1:5" x14ac:dyDescent="0.3">
      <c r="A234" t="s">
        <v>4</v>
      </c>
      <c r="B234" s="1" t="str">
        <f>HYPERLINK("https://media.istockphoto.com/id/1319192546/photo/businessman-driving.jpg?s=612x612&amp;w=0&amp;k=20&amp;c=lJm3XhN8ceVA5mTcJcRPXu35ayBncmAx4cJUyP8q-08=","Link")</f>
        <v>Link</v>
      </c>
      <c r="C234" t="s">
        <v>12</v>
      </c>
      <c r="D234" t="s">
        <v>7</v>
      </c>
      <c r="E234" t="s">
        <v>15</v>
      </c>
    </row>
    <row r="235" spans="1:5" x14ac:dyDescent="0.3">
      <c r="A235" t="s">
        <v>4</v>
      </c>
      <c r="B235" s="1" t="str">
        <f>HYPERLINK("https://media.istockphoto.com/id/1319192546/photo/businessman-driving.jpg?s=612x612&amp;w=0&amp;k=20&amp;c=lJm3XhN8ceVA5mTcJcRPXu35ayBncmAx4cJUyP8q-08=","Link")</f>
        <v>Link</v>
      </c>
      <c r="C235" t="s">
        <v>12</v>
      </c>
      <c r="D235" t="s">
        <v>8</v>
      </c>
      <c r="E235" t="s">
        <v>15</v>
      </c>
    </row>
    <row r="236" spans="1:5" x14ac:dyDescent="0.3">
      <c r="A236" t="s">
        <v>4</v>
      </c>
      <c r="B236" s="1" t="str">
        <f>HYPERLINK("https://media.istockphoto.com/id/1319192546/photo/businessman-driving.jpg?s=612x612&amp;w=0&amp;k=20&amp;c=lJm3XhN8ceVA5mTcJcRPXu35ayBncmAx4cJUyP8q-08=","Link")</f>
        <v>Link</v>
      </c>
      <c r="C236" t="s">
        <v>12</v>
      </c>
      <c r="D236" t="s">
        <v>9</v>
      </c>
      <c r="E236" t="s">
        <v>15</v>
      </c>
    </row>
    <row r="237" spans="1:5" x14ac:dyDescent="0.3">
      <c r="A237" t="s">
        <v>4</v>
      </c>
      <c r="B237" s="1" t="str">
        <f>HYPERLINK("https://media.istockphoto.com/id/1168978310/photo/businessman-driving-a-car.jpg?s=612x612&amp;w=0&amp;k=20&amp;c=r-45v2pjqkHzKQvWGONWmuDs2X65l7pQ0X_Jc3NwKxc=","Link")</f>
        <v>Link</v>
      </c>
      <c r="C237" t="s">
        <v>11</v>
      </c>
      <c r="D237" t="s">
        <v>5</v>
      </c>
      <c r="E237" t="s">
        <v>15</v>
      </c>
    </row>
    <row r="238" spans="1:5" x14ac:dyDescent="0.3">
      <c r="A238" t="s">
        <v>4</v>
      </c>
      <c r="B238" s="1" t="str">
        <f>HYPERLINK("https://media.istockphoto.com/id/1168978310/photo/businessman-driving-a-car.jpg?s=612x612&amp;w=0&amp;k=20&amp;c=r-45v2pjqkHzKQvWGONWmuDs2X65l7pQ0X_Jc3NwKxc=","Link")</f>
        <v>Link</v>
      </c>
      <c r="C238" t="s">
        <v>12</v>
      </c>
      <c r="D238" t="s">
        <v>6</v>
      </c>
      <c r="E238" t="s">
        <v>15</v>
      </c>
    </row>
    <row r="239" spans="1:5" x14ac:dyDescent="0.3">
      <c r="A239" t="s">
        <v>4</v>
      </c>
      <c r="B239" s="1" t="str">
        <f>HYPERLINK("https://media.istockphoto.com/id/1168978310/photo/businessman-driving-a-car.jpg?s=612x612&amp;w=0&amp;k=20&amp;c=r-45v2pjqkHzKQvWGONWmuDs2X65l7pQ0X_Jc3NwKxc=","Link")</f>
        <v>Link</v>
      </c>
      <c r="C239" t="s">
        <v>12</v>
      </c>
      <c r="D239" t="s">
        <v>7</v>
      </c>
      <c r="E239" t="s">
        <v>15</v>
      </c>
    </row>
    <row r="240" spans="1:5" x14ac:dyDescent="0.3">
      <c r="A240" t="s">
        <v>4</v>
      </c>
      <c r="B240" s="1" t="str">
        <f>HYPERLINK("https://media.istockphoto.com/id/1168978310/photo/businessman-driving-a-car.jpg?s=612x612&amp;w=0&amp;k=20&amp;c=r-45v2pjqkHzKQvWGONWmuDs2X65l7pQ0X_Jc3NwKxc=","Link")</f>
        <v>Link</v>
      </c>
      <c r="C240" t="s">
        <v>12</v>
      </c>
      <c r="D240" t="s">
        <v>8</v>
      </c>
      <c r="E240" t="s">
        <v>15</v>
      </c>
    </row>
    <row r="241" spans="1:5" x14ac:dyDescent="0.3">
      <c r="A241" t="s">
        <v>4</v>
      </c>
      <c r="B241" s="1" t="str">
        <f>HYPERLINK("https://media.istockphoto.com/id/1168978310/photo/businessman-driving-a-car.jpg?s=612x612&amp;w=0&amp;k=20&amp;c=r-45v2pjqkHzKQvWGONWmuDs2X65l7pQ0X_Jc3NwKxc=","Link")</f>
        <v>Link</v>
      </c>
      <c r="C241" t="s">
        <v>12</v>
      </c>
      <c r="D241" t="s">
        <v>9</v>
      </c>
      <c r="E241" t="s">
        <v>15</v>
      </c>
    </row>
    <row r="242" spans="1:5" x14ac:dyDescent="0.3">
      <c r="A242" t="s">
        <v>4</v>
      </c>
      <c r="B242" s="1" t="str">
        <f>HYPERLINK("https://media.istockphoto.com/id/2147544799/photo/woman-navigating-her-car-on-the-way-to-work.jpg?s=612x612&amp;w=0&amp;k=20&amp;c=0IWsa8sr1i2oVVZ7FHfUDom2iwUUNeommbSXPLLpgJM=","Link")</f>
        <v>Link</v>
      </c>
      <c r="C242" t="s">
        <v>11</v>
      </c>
      <c r="D242" t="s">
        <v>5</v>
      </c>
      <c r="E242" t="s">
        <v>15</v>
      </c>
    </row>
    <row r="243" spans="1:5" x14ac:dyDescent="0.3">
      <c r="A243" t="s">
        <v>4</v>
      </c>
      <c r="B243" s="1" t="str">
        <f>HYPERLINK("https://media.istockphoto.com/id/2147544799/photo/woman-navigating-her-car-on-the-way-to-work.jpg?s=612x612&amp;w=0&amp;k=20&amp;c=0IWsa8sr1i2oVVZ7FHfUDom2iwUUNeommbSXPLLpgJM=","Link")</f>
        <v>Link</v>
      </c>
      <c r="C243" t="s">
        <v>12</v>
      </c>
      <c r="D243" t="s">
        <v>6</v>
      </c>
      <c r="E243" t="s">
        <v>15</v>
      </c>
    </row>
    <row r="244" spans="1:5" x14ac:dyDescent="0.3">
      <c r="A244" t="s">
        <v>4</v>
      </c>
      <c r="B244" s="1" t="str">
        <f>HYPERLINK("https://media.istockphoto.com/id/2147544799/photo/woman-navigating-her-car-on-the-way-to-work.jpg?s=612x612&amp;w=0&amp;k=20&amp;c=0IWsa8sr1i2oVVZ7FHfUDom2iwUUNeommbSXPLLpgJM=","Link")</f>
        <v>Link</v>
      </c>
      <c r="C244" t="s">
        <v>12</v>
      </c>
      <c r="D244" t="s">
        <v>7</v>
      </c>
      <c r="E244" t="s">
        <v>15</v>
      </c>
    </row>
    <row r="245" spans="1:5" x14ac:dyDescent="0.3">
      <c r="A245" t="s">
        <v>4</v>
      </c>
      <c r="B245" s="1" t="str">
        <f>HYPERLINK("https://media.istockphoto.com/id/2147544799/photo/woman-navigating-her-car-on-the-way-to-work.jpg?s=612x612&amp;w=0&amp;k=20&amp;c=0IWsa8sr1i2oVVZ7FHfUDom2iwUUNeommbSXPLLpgJM=","Link")</f>
        <v>Link</v>
      </c>
      <c r="C245" t="s">
        <v>12</v>
      </c>
      <c r="D245" t="s">
        <v>8</v>
      </c>
      <c r="E245" t="s">
        <v>15</v>
      </c>
    </row>
    <row r="246" spans="1:5" x14ac:dyDescent="0.3">
      <c r="A246" t="s">
        <v>4</v>
      </c>
      <c r="B246" s="1" t="str">
        <f>HYPERLINK("https://media.istockphoto.com/id/2147544799/photo/woman-navigating-her-car-on-the-way-to-work.jpg?s=612x612&amp;w=0&amp;k=20&amp;c=0IWsa8sr1i2oVVZ7FHfUDom2iwUUNeommbSXPLLpgJM=","Link")</f>
        <v>Link</v>
      </c>
      <c r="C246" t="s">
        <v>12</v>
      </c>
      <c r="D246" t="s">
        <v>9</v>
      </c>
      <c r="E246" t="s">
        <v>15</v>
      </c>
    </row>
    <row r="247" spans="1:5" x14ac:dyDescent="0.3">
      <c r="A247" t="s">
        <v>4</v>
      </c>
      <c r="B247" s="1" t="str">
        <f>HYPERLINK("https://media.istockphoto.com/id/1585369634/photo/portrait-of-a-beautiful-smiling-woman-in-a-car-looking-out-of-the-window.jpg?s=612x612&amp;w=0&amp;k=20&amp;c=U1EqATqlE30jAP7EAOlcJ8xzJEUZwjPVkl5besilFBg=","Link")</f>
        <v>Link</v>
      </c>
      <c r="C247" t="s">
        <v>11</v>
      </c>
      <c r="D247" t="s">
        <v>5</v>
      </c>
      <c r="E247" t="s">
        <v>15</v>
      </c>
    </row>
    <row r="248" spans="1:5" x14ac:dyDescent="0.3">
      <c r="A248" t="s">
        <v>4</v>
      </c>
      <c r="B248" s="1" t="str">
        <f>HYPERLINK("https://media.istockphoto.com/id/1585369634/photo/portrait-of-a-beautiful-smiling-woman-in-a-car-looking-out-of-the-window.jpg?s=612x612&amp;w=0&amp;k=20&amp;c=U1EqATqlE30jAP7EAOlcJ8xzJEUZwjPVkl5besilFBg=","Link")</f>
        <v>Link</v>
      </c>
      <c r="C248" t="s">
        <v>12</v>
      </c>
      <c r="D248" t="s">
        <v>6</v>
      </c>
      <c r="E248" t="s">
        <v>15</v>
      </c>
    </row>
    <row r="249" spans="1:5" x14ac:dyDescent="0.3">
      <c r="A249" t="s">
        <v>4</v>
      </c>
      <c r="B249" s="1" t="str">
        <f>HYPERLINK("https://media.istockphoto.com/id/1585369634/photo/portrait-of-a-beautiful-smiling-woman-in-a-car-looking-out-of-the-window.jpg?s=612x612&amp;w=0&amp;k=20&amp;c=U1EqATqlE30jAP7EAOlcJ8xzJEUZwjPVkl5besilFBg=","Link")</f>
        <v>Link</v>
      </c>
      <c r="C249" t="s">
        <v>12</v>
      </c>
      <c r="D249" t="s">
        <v>7</v>
      </c>
      <c r="E249" t="s">
        <v>15</v>
      </c>
    </row>
    <row r="250" spans="1:5" x14ac:dyDescent="0.3">
      <c r="A250" t="s">
        <v>4</v>
      </c>
      <c r="B250" s="1" t="str">
        <f>HYPERLINK("https://media.istockphoto.com/id/1585369634/photo/portrait-of-a-beautiful-smiling-woman-in-a-car-looking-out-of-the-window.jpg?s=612x612&amp;w=0&amp;k=20&amp;c=U1EqATqlE30jAP7EAOlcJ8xzJEUZwjPVkl5besilFBg=","Link")</f>
        <v>Link</v>
      </c>
      <c r="C250" t="s">
        <v>12</v>
      </c>
      <c r="D250" t="s">
        <v>8</v>
      </c>
      <c r="E250" t="s">
        <v>15</v>
      </c>
    </row>
    <row r="251" spans="1:5" x14ac:dyDescent="0.3">
      <c r="A251" t="s">
        <v>4</v>
      </c>
      <c r="B251" s="1" t="str">
        <f>HYPERLINK("https://media.istockphoto.com/id/1585369634/photo/portrait-of-a-beautiful-smiling-woman-in-a-car-looking-out-of-the-window.jpg?s=612x612&amp;w=0&amp;k=20&amp;c=U1EqATqlE30jAP7EAOlcJ8xzJEUZwjPVkl5besilFBg=","Link")</f>
        <v>Link</v>
      </c>
      <c r="C251" t="s">
        <v>12</v>
      </c>
      <c r="D251" t="s">
        <v>9</v>
      </c>
      <c r="E251" t="s">
        <v>15</v>
      </c>
    </row>
    <row r="252" spans="1:5" x14ac:dyDescent="0.3">
      <c r="A252" t="s">
        <v>4</v>
      </c>
      <c r="B252" s="1" t="str">
        <f>HYPERLINK("https://media.istockphoto.com/id/1303459895/photo/beautiful-young-modern-girl-driving-a-car-on-sunny-summer-day.jpg?s=612x612&amp;w=0&amp;k=20&amp;c=oic-n-ZcsVznIZZT8pEDuKL358iAD6GXdDMuhiCMqmM=","Link")</f>
        <v>Link</v>
      </c>
      <c r="C252" t="s">
        <v>11</v>
      </c>
      <c r="D252" t="s">
        <v>5</v>
      </c>
      <c r="E252" t="s">
        <v>15</v>
      </c>
    </row>
    <row r="253" spans="1:5" x14ac:dyDescent="0.3">
      <c r="A253" t="s">
        <v>4</v>
      </c>
      <c r="B253" s="1" t="str">
        <f>HYPERLINK("https://media.istockphoto.com/id/1303459895/photo/beautiful-young-modern-girl-driving-a-car-on-sunny-summer-day.jpg?s=612x612&amp;w=0&amp;k=20&amp;c=oic-n-ZcsVznIZZT8pEDuKL358iAD6GXdDMuhiCMqmM=","Link")</f>
        <v>Link</v>
      </c>
      <c r="C253" t="s">
        <v>12</v>
      </c>
      <c r="D253" t="s">
        <v>6</v>
      </c>
      <c r="E253" t="s">
        <v>15</v>
      </c>
    </row>
    <row r="254" spans="1:5" x14ac:dyDescent="0.3">
      <c r="A254" t="s">
        <v>4</v>
      </c>
      <c r="B254" s="1" t="str">
        <f>HYPERLINK("https://media.istockphoto.com/id/1303459895/photo/beautiful-young-modern-girl-driving-a-car-on-sunny-summer-day.jpg?s=612x612&amp;w=0&amp;k=20&amp;c=oic-n-ZcsVznIZZT8pEDuKL358iAD6GXdDMuhiCMqmM=","Link")</f>
        <v>Link</v>
      </c>
      <c r="C254" t="s">
        <v>12</v>
      </c>
      <c r="D254" t="s">
        <v>7</v>
      </c>
      <c r="E254" t="s">
        <v>15</v>
      </c>
    </row>
    <row r="255" spans="1:5" x14ac:dyDescent="0.3">
      <c r="A255" t="s">
        <v>4</v>
      </c>
      <c r="B255" s="1" t="str">
        <f>HYPERLINK("https://media.istockphoto.com/id/1303459895/photo/beautiful-young-modern-girl-driving-a-car-on-sunny-summer-day.jpg?s=612x612&amp;w=0&amp;k=20&amp;c=oic-n-ZcsVznIZZT8pEDuKL358iAD6GXdDMuhiCMqmM=","Link")</f>
        <v>Link</v>
      </c>
      <c r="C255" t="s">
        <v>12</v>
      </c>
      <c r="D255" t="s">
        <v>8</v>
      </c>
      <c r="E255" t="s">
        <v>15</v>
      </c>
    </row>
    <row r="256" spans="1:5" x14ac:dyDescent="0.3">
      <c r="A256" t="s">
        <v>4</v>
      </c>
      <c r="B256" s="1" t="str">
        <f>HYPERLINK("https://media.istockphoto.com/id/1303459895/photo/beautiful-young-modern-girl-driving-a-car-on-sunny-summer-day.jpg?s=612x612&amp;w=0&amp;k=20&amp;c=oic-n-ZcsVznIZZT8pEDuKL358iAD6GXdDMuhiCMqmM=","Link")</f>
        <v>Link</v>
      </c>
      <c r="C256" t="s">
        <v>12</v>
      </c>
      <c r="D256" t="s">
        <v>9</v>
      </c>
      <c r="E256" t="s">
        <v>15</v>
      </c>
    </row>
    <row r="257" spans="1:5" x14ac:dyDescent="0.3">
      <c r="A257" t="s">
        <v>4</v>
      </c>
      <c r="B257" s="1" t="s">
        <v>13</v>
      </c>
      <c r="C257" t="s">
        <v>10</v>
      </c>
      <c r="D257" t="s">
        <v>5</v>
      </c>
      <c r="E257" t="s">
        <v>17</v>
      </c>
    </row>
    <row r="258" spans="1:5" x14ac:dyDescent="0.3">
      <c r="A258" t="s">
        <v>4</v>
      </c>
      <c r="B258" s="1" t="s">
        <v>13</v>
      </c>
      <c r="C258" t="s">
        <v>12</v>
      </c>
      <c r="D258" t="s">
        <v>6</v>
      </c>
      <c r="E258" t="s">
        <v>17</v>
      </c>
    </row>
    <row r="259" spans="1:5" x14ac:dyDescent="0.3">
      <c r="A259" t="s">
        <v>4</v>
      </c>
      <c r="B259" s="1" t="s">
        <v>13</v>
      </c>
      <c r="C259" t="s">
        <v>12</v>
      </c>
      <c r="D259" t="s">
        <v>7</v>
      </c>
      <c r="E259" t="s">
        <v>17</v>
      </c>
    </row>
    <row r="260" spans="1:5" x14ac:dyDescent="0.3">
      <c r="A260" t="s">
        <v>4</v>
      </c>
      <c r="B260" s="1" t="s">
        <v>13</v>
      </c>
      <c r="C260" t="s">
        <v>12</v>
      </c>
      <c r="D260" t="s">
        <v>8</v>
      </c>
      <c r="E260" t="s">
        <v>17</v>
      </c>
    </row>
    <row r="261" spans="1:5" x14ac:dyDescent="0.3">
      <c r="A261" t="s">
        <v>4</v>
      </c>
      <c r="B261" s="1" t="s">
        <v>13</v>
      </c>
      <c r="C261" t="s">
        <v>12</v>
      </c>
      <c r="D261" t="s">
        <v>9</v>
      </c>
      <c r="E261" t="s">
        <v>17</v>
      </c>
    </row>
    <row r="262" spans="1:5" x14ac:dyDescent="0.3">
      <c r="A262" t="s">
        <v>4</v>
      </c>
      <c r="B262" s="1" t="s">
        <v>13</v>
      </c>
      <c r="C262" t="s">
        <v>10</v>
      </c>
      <c r="D262" t="s">
        <v>5</v>
      </c>
      <c r="E262" t="s">
        <v>17</v>
      </c>
    </row>
    <row r="263" spans="1:5" x14ac:dyDescent="0.3">
      <c r="A263" t="s">
        <v>4</v>
      </c>
      <c r="B263" s="1" t="s">
        <v>13</v>
      </c>
      <c r="C263" t="s">
        <v>12</v>
      </c>
      <c r="D263" t="s">
        <v>6</v>
      </c>
      <c r="E263" t="s">
        <v>17</v>
      </c>
    </row>
    <row r="264" spans="1:5" x14ac:dyDescent="0.3">
      <c r="A264" t="s">
        <v>4</v>
      </c>
      <c r="B264" s="1" t="s">
        <v>13</v>
      </c>
      <c r="C264" t="s">
        <v>12</v>
      </c>
      <c r="D264" t="s">
        <v>7</v>
      </c>
      <c r="E264" t="s">
        <v>17</v>
      </c>
    </row>
    <row r="265" spans="1:5" x14ac:dyDescent="0.3">
      <c r="A265" t="s">
        <v>4</v>
      </c>
      <c r="B265" s="1" t="s">
        <v>13</v>
      </c>
      <c r="C265" t="s">
        <v>12</v>
      </c>
      <c r="D265" t="s">
        <v>8</v>
      </c>
      <c r="E265" t="s">
        <v>17</v>
      </c>
    </row>
    <row r="266" spans="1:5" x14ac:dyDescent="0.3">
      <c r="A266" t="s">
        <v>4</v>
      </c>
      <c r="B266" s="1" t="s">
        <v>13</v>
      </c>
      <c r="C266" t="s">
        <v>12</v>
      </c>
      <c r="D266" t="s">
        <v>9</v>
      </c>
      <c r="E266" t="s">
        <v>17</v>
      </c>
    </row>
    <row r="267" spans="1:5" x14ac:dyDescent="0.3">
      <c r="A267" t="s">
        <v>4</v>
      </c>
      <c r="B267" s="1" t="s">
        <v>13</v>
      </c>
      <c r="C267" t="s">
        <v>10</v>
      </c>
      <c r="D267" t="s">
        <v>5</v>
      </c>
      <c r="E267" t="s">
        <v>17</v>
      </c>
    </row>
    <row r="268" spans="1:5" x14ac:dyDescent="0.3">
      <c r="A268" t="s">
        <v>4</v>
      </c>
      <c r="B268" s="1" t="s">
        <v>13</v>
      </c>
      <c r="C268" t="s">
        <v>12</v>
      </c>
      <c r="D268" t="s">
        <v>6</v>
      </c>
      <c r="E268" t="s">
        <v>17</v>
      </c>
    </row>
    <row r="269" spans="1:5" x14ac:dyDescent="0.3">
      <c r="A269" t="s">
        <v>4</v>
      </c>
      <c r="B269" s="1" t="s">
        <v>13</v>
      </c>
      <c r="C269" t="s">
        <v>12</v>
      </c>
      <c r="D269" t="s">
        <v>7</v>
      </c>
      <c r="E269" t="s">
        <v>17</v>
      </c>
    </row>
    <row r="270" spans="1:5" x14ac:dyDescent="0.3">
      <c r="A270" t="s">
        <v>4</v>
      </c>
      <c r="B270" s="1" t="s">
        <v>13</v>
      </c>
      <c r="C270" t="s">
        <v>12</v>
      </c>
      <c r="D270" t="s">
        <v>8</v>
      </c>
      <c r="E270" t="s">
        <v>17</v>
      </c>
    </row>
    <row r="271" spans="1:5" x14ac:dyDescent="0.3">
      <c r="A271" t="s">
        <v>4</v>
      </c>
      <c r="B271" s="1" t="s">
        <v>13</v>
      </c>
      <c r="C271" t="s">
        <v>12</v>
      </c>
      <c r="D271" t="s">
        <v>9</v>
      </c>
      <c r="E271" t="s">
        <v>17</v>
      </c>
    </row>
    <row r="272" spans="1:5" x14ac:dyDescent="0.3">
      <c r="A272" t="s">
        <v>4</v>
      </c>
      <c r="B272" s="1" t="s">
        <v>13</v>
      </c>
      <c r="C272" t="s">
        <v>10</v>
      </c>
      <c r="D272" t="s">
        <v>5</v>
      </c>
      <c r="E272" t="s">
        <v>17</v>
      </c>
    </row>
    <row r="273" spans="1:5" x14ac:dyDescent="0.3">
      <c r="A273" t="s">
        <v>4</v>
      </c>
      <c r="B273" s="1" t="s">
        <v>13</v>
      </c>
      <c r="C273" t="s">
        <v>12</v>
      </c>
      <c r="D273" t="s">
        <v>6</v>
      </c>
      <c r="E273" t="s">
        <v>17</v>
      </c>
    </row>
    <row r="274" spans="1:5" x14ac:dyDescent="0.3">
      <c r="A274" t="s">
        <v>4</v>
      </c>
      <c r="B274" s="1" t="s">
        <v>13</v>
      </c>
      <c r="C274" t="s">
        <v>12</v>
      </c>
      <c r="D274" t="s">
        <v>7</v>
      </c>
      <c r="E274" t="s">
        <v>17</v>
      </c>
    </row>
    <row r="275" spans="1:5" x14ac:dyDescent="0.3">
      <c r="A275" t="s">
        <v>4</v>
      </c>
      <c r="B275" s="1" t="s">
        <v>13</v>
      </c>
      <c r="C275" t="s">
        <v>12</v>
      </c>
      <c r="D275" t="s">
        <v>8</v>
      </c>
      <c r="E275" t="s">
        <v>17</v>
      </c>
    </row>
    <row r="276" spans="1:5" x14ac:dyDescent="0.3">
      <c r="A276" t="s">
        <v>4</v>
      </c>
      <c r="B276" s="1" t="s">
        <v>13</v>
      </c>
      <c r="C276" t="s">
        <v>12</v>
      </c>
      <c r="D276" t="s">
        <v>9</v>
      </c>
      <c r="E276" t="s">
        <v>17</v>
      </c>
    </row>
    <row r="277" spans="1:5" x14ac:dyDescent="0.3">
      <c r="A277" t="s">
        <v>4</v>
      </c>
      <c r="B277" s="1" t="s">
        <v>13</v>
      </c>
      <c r="C277" t="s">
        <v>10</v>
      </c>
      <c r="D277" t="s">
        <v>5</v>
      </c>
      <c r="E277" t="s">
        <v>17</v>
      </c>
    </row>
    <row r="278" spans="1:5" x14ac:dyDescent="0.3">
      <c r="A278" t="s">
        <v>4</v>
      </c>
      <c r="B278" s="1" t="s">
        <v>13</v>
      </c>
      <c r="C278" t="s">
        <v>12</v>
      </c>
      <c r="D278" t="s">
        <v>6</v>
      </c>
      <c r="E278" t="s">
        <v>17</v>
      </c>
    </row>
    <row r="279" spans="1:5" x14ac:dyDescent="0.3">
      <c r="A279" t="s">
        <v>4</v>
      </c>
      <c r="B279" s="1" t="s">
        <v>13</v>
      </c>
      <c r="C279" t="s">
        <v>12</v>
      </c>
      <c r="D279" t="s">
        <v>7</v>
      </c>
      <c r="E279" t="s">
        <v>17</v>
      </c>
    </row>
    <row r="280" spans="1:5" x14ac:dyDescent="0.3">
      <c r="A280" t="s">
        <v>4</v>
      </c>
      <c r="B280" s="1" t="s">
        <v>13</v>
      </c>
      <c r="C280" t="s">
        <v>10</v>
      </c>
      <c r="D280" t="s">
        <v>8</v>
      </c>
      <c r="E280" t="s">
        <v>17</v>
      </c>
    </row>
    <row r="281" spans="1:5" x14ac:dyDescent="0.3">
      <c r="A281" t="s">
        <v>4</v>
      </c>
      <c r="B281" s="1" t="s">
        <v>13</v>
      </c>
      <c r="C281" t="s">
        <v>12</v>
      </c>
      <c r="D281" t="s">
        <v>9</v>
      </c>
      <c r="E281" t="s">
        <v>17</v>
      </c>
    </row>
    <row r="282" spans="1:5" x14ac:dyDescent="0.3">
      <c r="A282" t="s">
        <v>4</v>
      </c>
      <c r="B282" s="1" t="s">
        <v>13</v>
      </c>
      <c r="C282" t="s">
        <v>10</v>
      </c>
      <c r="D282" t="s">
        <v>5</v>
      </c>
      <c r="E282" t="s">
        <v>17</v>
      </c>
    </row>
    <row r="283" spans="1:5" x14ac:dyDescent="0.3">
      <c r="A283" t="s">
        <v>4</v>
      </c>
      <c r="B283" s="1" t="s">
        <v>13</v>
      </c>
      <c r="C283" t="s">
        <v>12</v>
      </c>
      <c r="D283" t="s">
        <v>6</v>
      </c>
      <c r="E283" t="s">
        <v>17</v>
      </c>
    </row>
    <row r="284" spans="1:5" x14ac:dyDescent="0.3">
      <c r="A284" t="s">
        <v>4</v>
      </c>
      <c r="B284" s="1" t="s">
        <v>13</v>
      </c>
      <c r="C284" t="s">
        <v>12</v>
      </c>
      <c r="D284" t="s">
        <v>7</v>
      </c>
      <c r="E284" t="s">
        <v>17</v>
      </c>
    </row>
    <row r="285" spans="1:5" x14ac:dyDescent="0.3">
      <c r="A285" t="s">
        <v>4</v>
      </c>
      <c r="B285" s="1" t="s">
        <v>13</v>
      </c>
      <c r="C285" t="s">
        <v>12</v>
      </c>
      <c r="D285" t="s">
        <v>8</v>
      </c>
      <c r="E285" t="s">
        <v>17</v>
      </c>
    </row>
    <row r="286" spans="1:5" x14ac:dyDescent="0.3">
      <c r="A286" t="s">
        <v>4</v>
      </c>
      <c r="B286" s="1" t="s">
        <v>13</v>
      </c>
      <c r="C286" t="s">
        <v>12</v>
      </c>
      <c r="D286" t="s">
        <v>9</v>
      </c>
      <c r="E286" t="s">
        <v>17</v>
      </c>
    </row>
    <row r="287" spans="1:5" x14ac:dyDescent="0.3">
      <c r="A287" t="s">
        <v>4</v>
      </c>
      <c r="B287" s="1" t="s">
        <v>13</v>
      </c>
      <c r="C287" t="s">
        <v>10</v>
      </c>
      <c r="D287" t="s">
        <v>5</v>
      </c>
      <c r="E287" t="s">
        <v>17</v>
      </c>
    </row>
    <row r="288" spans="1:5" x14ac:dyDescent="0.3">
      <c r="A288" t="s">
        <v>4</v>
      </c>
      <c r="B288" s="1" t="s">
        <v>13</v>
      </c>
      <c r="C288" t="s">
        <v>12</v>
      </c>
      <c r="D288" t="s">
        <v>6</v>
      </c>
      <c r="E288" t="s">
        <v>17</v>
      </c>
    </row>
    <row r="289" spans="1:5" x14ac:dyDescent="0.3">
      <c r="A289" t="s">
        <v>4</v>
      </c>
      <c r="B289" s="1" t="s">
        <v>13</v>
      </c>
      <c r="C289" t="s">
        <v>12</v>
      </c>
      <c r="D289" t="s">
        <v>7</v>
      </c>
      <c r="E289" t="s">
        <v>17</v>
      </c>
    </row>
    <row r="290" spans="1:5" x14ac:dyDescent="0.3">
      <c r="A290" t="s">
        <v>4</v>
      </c>
      <c r="B290" s="1" t="s">
        <v>13</v>
      </c>
      <c r="C290" t="s">
        <v>12</v>
      </c>
      <c r="D290" t="s">
        <v>8</v>
      </c>
      <c r="E290" t="s">
        <v>17</v>
      </c>
    </row>
    <row r="291" spans="1:5" x14ac:dyDescent="0.3">
      <c r="A291" t="s">
        <v>4</v>
      </c>
      <c r="B291" s="1" t="s">
        <v>13</v>
      </c>
      <c r="C291" t="s">
        <v>12</v>
      </c>
      <c r="D291" t="s">
        <v>9</v>
      </c>
      <c r="E291" t="s">
        <v>17</v>
      </c>
    </row>
    <row r="292" spans="1:5" x14ac:dyDescent="0.3">
      <c r="A292" t="s">
        <v>4</v>
      </c>
      <c r="B292" s="1" t="s">
        <v>13</v>
      </c>
      <c r="C292" t="s">
        <v>10</v>
      </c>
      <c r="D292" t="s">
        <v>5</v>
      </c>
      <c r="E292" t="s">
        <v>17</v>
      </c>
    </row>
    <row r="293" spans="1:5" x14ac:dyDescent="0.3">
      <c r="A293" t="s">
        <v>4</v>
      </c>
      <c r="B293" s="1" t="s">
        <v>13</v>
      </c>
      <c r="C293" t="s">
        <v>12</v>
      </c>
      <c r="D293" t="s">
        <v>6</v>
      </c>
      <c r="E293" t="s">
        <v>17</v>
      </c>
    </row>
    <row r="294" spans="1:5" x14ac:dyDescent="0.3">
      <c r="A294" t="s">
        <v>4</v>
      </c>
      <c r="B294" s="1" t="s">
        <v>13</v>
      </c>
      <c r="C294" t="s">
        <v>12</v>
      </c>
      <c r="D294" t="s">
        <v>7</v>
      </c>
      <c r="E294" t="s">
        <v>17</v>
      </c>
    </row>
    <row r="295" spans="1:5" x14ac:dyDescent="0.3">
      <c r="A295" t="s">
        <v>4</v>
      </c>
      <c r="B295" s="1" t="s">
        <v>13</v>
      </c>
      <c r="C295" t="s">
        <v>12</v>
      </c>
      <c r="D295" t="s">
        <v>8</v>
      </c>
      <c r="E295" t="s">
        <v>17</v>
      </c>
    </row>
    <row r="296" spans="1:5" x14ac:dyDescent="0.3">
      <c r="A296" t="s">
        <v>4</v>
      </c>
      <c r="B296" s="1" t="s">
        <v>13</v>
      </c>
      <c r="C296" t="s">
        <v>12</v>
      </c>
      <c r="D296" t="s">
        <v>9</v>
      </c>
      <c r="E296" t="s">
        <v>17</v>
      </c>
    </row>
    <row r="297" spans="1:5" x14ac:dyDescent="0.3">
      <c r="A297" t="s">
        <v>4</v>
      </c>
      <c r="B297" s="1" t="s">
        <v>13</v>
      </c>
      <c r="C297" t="s">
        <v>10</v>
      </c>
      <c r="D297" t="s">
        <v>5</v>
      </c>
      <c r="E297" t="s">
        <v>17</v>
      </c>
    </row>
    <row r="298" spans="1:5" x14ac:dyDescent="0.3">
      <c r="A298" t="s">
        <v>4</v>
      </c>
      <c r="B298" s="1" t="s">
        <v>13</v>
      </c>
      <c r="C298" t="s">
        <v>12</v>
      </c>
      <c r="D298" t="s">
        <v>6</v>
      </c>
      <c r="E298" t="s">
        <v>17</v>
      </c>
    </row>
    <row r="299" spans="1:5" x14ac:dyDescent="0.3">
      <c r="A299" t="s">
        <v>4</v>
      </c>
      <c r="B299" s="1" t="s">
        <v>13</v>
      </c>
      <c r="C299" t="s">
        <v>12</v>
      </c>
      <c r="D299" t="s">
        <v>7</v>
      </c>
      <c r="E299" t="s">
        <v>17</v>
      </c>
    </row>
    <row r="300" spans="1:5" x14ac:dyDescent="0.3">
      <c r="A300" t="s">
        <v>4</v>
      </c>
      <c r="B300" s="1" t="s">
        <v>13</v>
      </c>
      <c r="C300" t="s">
        <v>12</v>
      </c>
      <c r="D300" t="s">
        <v>8</v>
      </c>
      <c r="E300" t="s">
        <v>17</v>
      </c>
    </row>
    <row r="301" spans="1:5" x14ac:dyDescent="0.3">
      <c r="A301" t="s">
        <v>4</v>
      </c>
      <c r="B301" s="1" t="s">
        <v>13</v>
      </c>
      <c r="C301" t="s">
        <v>12</v>
      </c>
      <c r="D301" t="s">
        <v>9</v>
      </c>
      <c r="E301" t="s">
        <v>17</v>
      </c>
    </row>
    <row r="302" spans="1:5" x14ac:dyDescent="0.3">
      <c r="A302" t="s">
        <v>4</v>
      </c>
      <c r="B302" s="1" t="s">
        <v>13</v>
      </c>
      <c r="C302" t="s">
        <v>10</v>
      </c>
      <c r="D302" t="s">
        <v>5</v>
      </c>
      <c r="E302" t="s">
        <v>17</v>
      </c>
    </row>
    <row r="303" spans="1:5" x14ac:dyDescent="0.3">
      <c r="A303" t="s">
        <v>4</v>
      </c>
      <c r="B303" s="1" t="s">
        <v>13</v>
      </c>
      <c r="C303" t="s">
        <v>12</v>
      </c>
      <c r="D303" t="s">
        <v>6</v>
      </c>
      <c r="E303" t="s">
        <v>17</v>
      </c>
    </row>
    <row r="304" spans="1:5" x14ac:dyDescent="0.3">
      <c r="A304" t="s">
        <v>4</v>
      </c>
      <c r="B304" s="1" t="s">
        <v>13</v>
      </c>
      <c r="C304" t="s">
        <v>12</v>
      </c>
      <c r="D304" t="s">
        <v>7</v>
      </c>
      <c r="E304" t="s">
        <v>17</v>
      </c>
    </row>
    <row r="305" spans="1:5" x14ac:dyDescent="0.3">
      <c r="A305" t="s">
        <v>4</v>
      </c>
      <c r="B305" s="1" t="s">
        <v>13</v>
      </c>
      <c r="C305" t="s">
        <v>12</v>
      </c>
      <c r="D305" t="s">
        <v>8</v>
      </c>
      <c r="E305" t="s">
        <v>17</v>
      </c>
    </row>
    <row r="306" spans="1:5" x14ac:dyDescent="0.3">
      <c r="A306" t="s">
        <v>4</v>
      </c>
      <c r="B306" s="1" t="s">
        <v>13</v>
      </c>
      <c r="C306" t="s">
        <v>12</v>
      </c>
      <c r="D306" t="s">
        <v>9</v>
      </c>
      <c r="E306" t="s">
        <v>17</v>
      </c>
    </row>
    <row r="307" spans="1:5" x14ac:dyDescent="0.3">
      <c r="A307" t="s">
        <v>4</v>
      </c>
      <c r="B307" s="1" t="s">
        <v>13</v>
      </c>
      <c r="C307" t="s">
        <v>10</v>
      </c>
      <c r="D307" t="s">
        <v>5</v>
      </c>
      <c r="E307" t="s">
        <v>17</v>
      </c>
    </row>
    <row r="308" spans="1:5" x14ac:dyDescent="0.3">
      <c r="A308" t="s">
        <v>4</v>
      </c>
      <c r="B308" s="1" t="s">
        <v>13</v>
      </c>
      <c r="C308" t="s">
        <v>12</v>
      </c>
      <c r="D308" t="s">
        <v>6</v>
      </c>
      <c r="E308" t="s">
        <v>17</v>
      </c>
    </row>
    <row r="309" spans="1:5" x14ac:dyDescent="0.3">
      <c r="A309" t="s">
        <v>4</v>
      </c>
      <c r="B309" s="1" t="s">
        <v>13</v>
      </c>
      <c r="C309" t="s">
        <v>12</v>
      </c>
      <c r="D309" t="s">
        <v>7</v>
      </c>
      <c r="E309" t="s">
        <v>17</v>
      </c>
    </row>
    <row r="310" spans="1:5" x14ac:dyDescent="0.3">
      <c r="A310" t="s">
        <v>4</v>
      </c>
      <c r="B310" s="1" t="s">
        <v>13</v>
      </c>
      <c r="C310" t="s">
        <v>12</v>
      </c>
      <c r="D310" t="s">
        <v>8</v>
      </c>
      <c r="E310" t="s">
        <v>17</v>
      </c>
    </row>
    <row r="311" spans="1:5" x14ac:dyDescent="0.3">
      <c r="A311" t="s">
        <v>4</v>
      </c>
      <c r="B311" s="1" t="s">
        <v>13</v>
      </c>
      <c r="C311" t="s">
        <v>12</v>
      </c>
      <c r="D311" t="s">
        <v>9</v>
      </c>
      <c r="E311" t="s">
        <v>17</v>
      </c>
    </row>
    <row r="312" spans="1:5" x14ac:dyDescent="0.3">
      <c r="A312" t="s">
        <v>4</v>
      </c>
      <c r="B312" s="1" t="s">
        <v>13</v>
      </c>
      <c r="C312" t="s">
        <v>10</v>
      </c>
      <c r="D312" t="s">
        <v>5</v>
      </c>
      <c r="E312" t="s">
        <v>17</v>
      </c>
    </row>
    <row r="313" spans="1:5" x14ac:dyDescent="0.3">
      <c r="A313" t="s">
        <v>4</v>
      </c>
      <c r="B313" s="1" t="s">
        <v>13</v>
      </c>
      <c r="C313" t="s">
        <v>12</v>
      </c>
      <c r="D313" t="s">
        <v>6</v>
      </c>
      <c r="E313" t="s">
        <v>17</v>
      </c>
    </row>
    <row r="314" spans="1:5" x14ac:dyDescent="0.3">
      <c r="A314" t="s">
        <v>4</v>
      </c>
      <c r="B314" s="1" t="s">
        <v>13</v>
      </c>
      <c r="C314" t="s">
        <v>12</v>
      </c>
      <c r="D314" t="s">
        <v>7</v>
      </c>
      <c r="E314" t="s">
        <v>17</v>
      </c>
    </row>
    <row r="315" spans="1:5" x14ac:dyDescent="0.3">
      <c r="A315" t="s">
        <v>4</v>
      </c>
      <c r="B315" s="1" t="s">
        <v>13</v>
      </c>
      <c r="C315" t="s">
        <v>12</v>
      </c>
      <c r="D315" t="s">
        <v>8</v>
      </c>
      <c r="E315" t="s">
        <v>17</v>
      </c>
    </row>
    <row r="316" spans="1:5" x14ac:dyDescent="0.3">
      <c r="A316" t="s">
        <v>4</v>
      </c>
      <c r="B316" s="1" t="s">
        <v>13</v>
      </c>
      <c r="C316" t="s">
        <v>12</v>
      </c>
      <c r="D316" t="s">
        <v>9</v>
      </c>
      <c r="E316" t="s">
        <v>17</v>
      </c>
    </row>
    <row r="317" spans="1:5" x14ac:dyDescent="0.3">
      <c r="A317" t="s">
        <v>4</v>
      </c>
      <c r="B317" s="1" t="s">
        <v>13</v>
      </c>
      <c r="C317" t="s">
        <v>10</v>
      </c>
      <c r="D317" t="s">
        <v>5</v>
      </c>
      <c r="E317" t="s">
        <v>17</v>
      </c>
    </row>
    <row r="318" spans="1:5" x14ac:dyDescent="0.3">
      <c r="A318" t="s">
        <v>4</v>
      </c>
      <c r="B318" s="1" t="s">
        <v>13</v>
      </c>
      <c r="C318" t="s">
        <v>12</v>
      </c>
      <c r="D318" t="s">
        <v>6</v>
      </c>
      <c r="E318" t="s">
        <v>17</v>
      </c>
    </row>
    <row r="319" spans="1:5" x14ac:dyDescent="0.3">
      <c r="A319" t="s">
        <v>4</v>
      </c>
      <c r="B319" s="1" t="s">
        <v>13</v>
      </c>
      <c r="C319" t="s">
        <v>12</v>
      </c>
      <c r="D319" t="s">
        <v>7</v>
      </c>
      <c r="E319" t="s">
        <v>17</v>
      </c>
    </row>
    <row r="320" spans="1:5" x14ac:dyDescent="0.3">
      <c r="A320" t="s">
        <v>4</v>
      </c>
      <c r="B320" s="1" t="s">
        <v>13</v>
      </c>
      <c r="C320" t="s">
        <v>12</v>
      </c>
      <c r="D320" t="s">
        <v>8</v>
      </c>
      <c r="E320" t="s">
        <v>17</v>
      </c>
    </row>
    <row r="321" spans="1:5" x14ac:dyDescent="0.3">
      <c r="A321" t="s">
        <v>4</v>
      </c>
      <c r="B321" s="1" t="s">
        <v>13</v>
      </c>
      <c r="C321" t="s">
        <v>12</v>
      </c>
      <c r="D321" t="s">
        <v>9</v>
      </c>
      <c r="E321" t="s">
        <v>17</v>
      </c>
    </row>
    <row r="322" spans="1:5" x14ac:dyDescent="0.3">
      <c r="A322" t="s">
        <v>4</v>
      </c>
      <c r="B322" s="1" t="s">
        <v>13</v>
      </c>
      <c r="C322" t="s">
        <v>10</v>
      </c>
      <c r="D322" t="s">
        <v>5</v>
      </c>
      <c r="E322" t="s">
        <v>17</v>
      </c>
    </row>
    <row r="323" spans="1:5" x14ac:dyDescent="0.3">
      <c r="A323" t="s">
        <v>4</v>
      </c>
      <c r="B323" s="1" t="s">
        <v>13</v>
      </c>
      <c r="C323" t="s">
        <v>12</v>
      </c>
      <c r="D323" t="s">
        <v>6</v>
      </c>
      <c r="E323" t="s">
        <v>17</v>
      </c>
    </row>
    <row r="324" spans="1:5" x14ac:dyDescent="0.3">
      <c r="A324" t="s">
        <v>4</v>
      </c>
      <c r="B324" s="1" t="s">
        <v>13</v>
      </c>
      <c r="C324" t="s">
        <v>12</v>
      </c>
      <c r="D324" t="s">
        <v>7</v>
      </c>
      <c r="E324" t="s">
        <v>17</v>
      </c>
    </row>
    <row r="325" spans="1:5" x14ac:dyDescent="0.3">
      <c r="A325" t="s">
        <v>4</v>
      </c>
      <c r="B325" s="1" t="s">
        <v>13</v>
      </c>
      <c r="C325" t="s">
        <v>12</v>
      </c>
      <c r="D325" t="s">
        <v>8</v>
      </c>
      <c r="E325" t="s">
        <v>17</v>
      </c>
    </row>
    <row r="326" spans="1:5" x14ac:dyDescent="0.3">
      <c r="A326" t="s">
        <v>4</v>
      </c>
      <c r="B326" s="1" t="s">
        <v>13</v>
      </c>
      <c r="C326" t="s">
        <v>12</v>
      </c>
      <c r="D326" t="s">
        <v>9</v>
      </c>
      <c r="E326" t="s">
        <v>17</v>
      </c>
    </row>
    <row r="327" spans="1:5" x14ac:dyDescent="0.3">
      <c r="A327" t="s">
        <v>4</v>
      </c>
      <c r="B327" s="1" t="s">
        <v>13</v>
      </c>
      <c r="C327" t="s">
        <v>10</v>
      </c>
      <c r="D327" t="s">
        <v>5</v>
      </c>
      <c r="E327" t="s">
        <v>17</v>
      </c>
    </row>
    <row r="328" spans="1:5" x14ac:dyDescent="0.3">
      <c r="A328" t="s">
        <v>4</v>
      </c>
      <c r="B328" s="1" t="s">
        <v>13</v>
      </c>
      <c r="C328" t="s">
        <v>12</v>
      </c>
      <c r="D328" t="s">
        <v>6</v>
      </c>
      <c r="E328" t="s">
        <v>17</v>
      </c>
    </row>
    <row r="329" spans="1:5" x14ac:dyDescent="0.3">
      <c r="A329" t="s">
        <v>4</v>
      </c>
      <c r="B329" s="1" t="s">
        <v>13</v>
      </c>
      <c r="C329" t="s">
        <v>12</v>
      </c>
      <c r="D329" t="s">
        <v>7</v>
      </c>
      <c r="E329" t="s">
        <v>17</v>
      </c>
    </row>
    <row r="330" spans="1:5" x14ac:dyDescent="0.3">
      <c r="A330" t="s">
        <v>4</v>
      </c>
      <c r="B330" s="1" t="s">
        <v>13</v>
      </c>
      <c r="C330" t="s">
        <v>12</v>
      </c>
      <c r="D330" t="s">
        <v>8</v>
      </c>
      <c r="E330" t="s">
        <v>17</v>
      </c>
    </row>
    <row r="331" spans="1:5" x14ac:dyDescent="0.3">
      <c r="A331" t="s">
        <v>4</v>
      </c>
      <c r="B331" s="1" t="s">
        <v>13</v>
      </c>
      <c r="C331" t="s">
        <v>12</v>
      </c>
      <c r="D331" t="s">
        <v>9</v>
      </c>
      <c r="E331" t="s">
        <v>17</v>
      </c>
    </row>
    <row r="332" spans="1:5" x14ac:dyDescent="0.3">
      <c r="A332" t="s">
        <v>4</v>
      </c>
      <c r="B332" s="1" t="s">
        <v>13</v>
      </c>
      <c r="C332" t="s">
        <v>10</v>
      </c>
      <c r="D332" t="s">
        <v>5</v>
      </c>
      <c r="E332" t="s">
        <v>17</v>
      </c>
    </row>
    <row r="333" spans="1:5" x14ac:dyDescent="0.3">
      <c r="A333" t="s">
        <v>4</v>
      </c>
      <c r="B333" s="1" t="s">
        <v>13</v>
      </c>
      <c r="C333" t="s">
        <v>12</v>
      </c>
      <c r="D333" t="s">
        <v>6</v>
      </c>
      <c r="E333" t="s">
        <v>17</v>
      </c>
    </row>
    <row r="334" spans="1:5" x14ac:dyDescent="0.3">
      <c r="A334" t="s">
        <v>4</v>
      </c>
      <c r="B334" s="1" t="s">
        <v>13</v>
      </c>
      <c r="C334" t="s">
        <v>12</v>
      </c>
      <c r="D334" t="s">
        <v>7</v>
      </c>
      <c r="E334" t="s">
        <v>17</v>
      </c>
    </row>
    <row r="335" spans="1:5" x14ac:dyDescent="0.3">
      <c r="A335" t="s">
        <v>4</v>
      </c>
      <c r="B335" s="1" t="s">
        <v>13</v>
      </c>
      <c r="C335" t="s">
        <v>12</v>
      </c>
      <c r="D335" t="s">
        <v>8</v>
      </c>
      <c r="E335" t="s">
        <v>17</v>
      </c>
    </row>
    <row r="336" spans="1:5" x14ac:dyDescent="0.3">
      <c r="A336" t="s">
        <v>4</v>
      </c>
      <c r="B336" s="1" t="s">
        <v>13</v>
      </c>
      <c r="C336" t="s">
        <v>12</v>
      </c>
      <c r="D336" t="s">
        <v>9</v>
      </c>
      <c r="E336" t="s">
        <v>17</v>
      </c>
    </row>
    <row r="337" spans="1:5" x14ac:dyDescent="0.3">
      <c r="A337" t="s">
        <v>4</v>
      </c>
      <c r="B337" s="1" t="s">
        <v>13</v>
      </c>
      <c r="C337" t="s">
        <v>10</v>
      </c>
      <c r="D337" t="s">
        <v>5</v>
      </c>
      <c r="E337" t="s">
        <v>17</v>
      </c>
    </row>
    <row r="338" spans="1:5" x14ac:dyDescent="0.3">
      <c r="A338" t="s">
        <v>4</v>
      </c>
      <c r="B338" s="1" t="s">
        <v>13</v>
      </c>
      <c r="C338" t="s">
        <v>12</v>
      </c>
      <c r="D338" t="s">
        <v>6</v>
      </c>
      <c r="E338" t="s">
        <v>17</v>
      </c>
    </row>
    <row r="339" spans="1:5" x14ac:dyDescent="0.3">
      <c r="A339" t="s">
        <v>4</v>
      </c>
      <c r="B339" s="1" t="s">
        <v>13</v>
      </c>
      <c r="C339" t="s">
        <v>12</v>
      </c>
      <c r="D339" t="s">
        <v>7</v>
      </c>
      <c r="E339" t="s">
        <v>17</v>
      </c>
    </row>
    <row r="340" spans="1:5" x14ac:dyDescent="0.3">
      <c r="A340" t="s">
        <v>4</v>
      </c>
      <c r="B340" s="1" t="s">
        <v>13</v>
      </c>
      <c r="C340" t="s">
        <v>12</v>
      </c>
      <c r="D340" t="s">
        <v>8</v>
      </c>
      <c r="E340" t="s">
        <v>17</v>
      </c>
    </row>
    <row r="341" spans="1:5" x14ac:dyDescent="0.3">
      <c r="A341" t="s">
        <v>4</v>
      </c>
      <c r="B341" s="1" t="s">
        <v>13</v>
      </c>
      <c r="C341" t="s">
        <v>12</v>
      </c>
      <c r="D341" t="s">
        <v>9</v>
      </c>
      <c r="E341" t="s">
        <v>17</v>
      </c>
    </row>
    <row r="342" spans="1:5" x14ac:dyDescent="0.3">
      <c r="A342" t="s">
        <v>4</v>
      </c>
      <c r="B342" s="1" t="s">
        <v>13</v>
      </c>
      <c r="C342" t="s">
        <v>10</v>
      </c>
      <c r="D342" t="s">
        <v>5</v>
      </c>
      <c r="E342" t="s">
        <v>17</v>
      </c>
    </row>
    <row r="343" spans="1:5" x14ac:dyDescent="0.3">
      <c r="A343" t="s">
        <v>4</v>
      </c>
      <c r="B343" s="1" t="s">
        <v>13</v>
      </c>
      <c r="C343" t="s">
        <v>12</v>
      </c>
      <c r="D343" t="s">
        <v>6</v>
      </c>
      <c r="E343" t="s">
        <v>17</v>
      </c>
    </row>
    <row r="344" spans="1:5" x14ac:dyDescent="0.3">
      <c r="A344" t="s">
        <v>4</v>
      </c>
      <c r="B344" s="1" t="s">
        <v>13</v>
      </c>
      <c r="C344" t="s">
        <v>12</v>
      </c>
      <c r="D344" t="s">
        <v>7</v>
      </c>
      <c r="E344" t="s">
        <v>17</v>
      </c>
    </row>
    <row r="345" spans="1:5" x14ac:dyDescent="0.3">
      <c r="A345" t="s">
        <v>4</v>
      </c>
      <c r="B345" s="1" t="s">
        <v>13</v>
      </c>
      <c r="C345" t="s">
        <v>12</v>
      </c>
      <c r="D345" t="s">
        <v>8</v>
      </c>
      <c r="E345" t="s">
        <v>17</v>
      </c>
    </row>
    <row r="346" spans="1:5" x14ac:dyDescent="0.3">
      <c r="A346" t="s">
        <v>4</v>
      </c>
      <c r="B346" s="1" t="s">
        <v>13</v>
      </c>
      <c r="C346" t="s">
        <v>12</v>
      </c>
      <c r="D346" t="s">
        <v>9</v>
      </c>
      <c r="E346" t="s">
        <v>17</v>
      </c>
    </row>
    <row r="347" spans="1:5" x14ac:dyDescent="0.3">
      <c r="A347" t="s">
        <v>4</v>
      </c>
      <c r="B347" s="1" t="s">
        <v>13</v>
      </c>
      <c r="C347" t="s">
        <v>10</v>
      </c>
      <c r="D347" t="s">
        <v>5</v>
      </c>
      <c r="E347" t="s">
        <v>17</v>
      </c>
    </row>
    <row r="348" spans="1:5" x14ac:dyDescent="0.3">
      <c r="A348" t="s">
        <v>4</v>
      </c>
      <c r="B348" s="1" t="s">
        <v>13</v>
      </c>
      <c r="C348" t="s">
        <v>12</v>
      </c>
      <c r="D348" t="s">
        <v>6</v>
      </c>
      <c r="E348" t="s">
        <v>17</v>
      </c>
    </row>
    <row r="349" spans="1:5" x14ac:dyDescent="0.3">
      <c r="A349" t="s">
        <v>4</v>
      </c>
      <c r="B349" s="1" t="s">
        <v>13</v>
      </c>
      <c r="C349" t="s">
        <v>12</v>
      </c>
      <c r="D349" t="s">
        <v>7</v>
      </c>
      <c r="E349" t="s">
        <v>17</v>
      </c>
    </row>
    <row r="350" spans="1:5" x14ac:dyDescent="0.3">
      <c r="A350" t="s">
        <v>4</v>
      </c>
      <c r="B350" s="1" t="s">
        <v>13</v>
      </c>
      <c r="C350" t="s">
        <v>12</v>
      </c>
      <c r="D350" t="s">
        <v>8</v>
      </c>
      <c r="E350" t="s">
        <v>17</v>
      </c>
    </row>
    <row r="351" spans="1:5" x14ac:dyDescent="0.3">
      <c r="A351" t="s">
        <v>4</v>
      </c>
      <c r="B351" s="1" t="s">
        <v>13</v>
      </c>
      <c r="C351" t="s">
        <v>12</v>
      </c>
      <c r="D351" t="s">
        <v>9</v>
      </c>
      <c r="E351" t="s">
        <v>17</v>
      </c>
    </row>
    <row r="352" spans="1:5" x14ac:dyDescent="0.3">
      <c r="A352" t="s">
        <v>4</v>
      </c>
      <c r="B352" s="1" t="s">
        <v>13</v>
      </c>
      <c r="C352" t="s">
        <v>10</v>
      </c>
      <c r="D352" t="s">
        <v>5</v>
      </c>
      <c r="E352" t="s">
        <v>17</v>
      </c>
    </row>
    <row r="353" spans="1:5" x14ac:dyDescent="0.3">
      <c r="A353" t="s">
        <v>4</v>
      </c>
      <c r="B353" s="1" t="s">
        <v>13</v>
      </c>
      <c r="C353" t="s">
        <v>12</v>
      </c>
      <c r="D353" t="s">
        <v>6</v>
      </c>
      <c r="E353" t="s">
        <v>17</v>
      </c>
    </row>
    <row r="354" spans="1:5" x14ac:dyDescent="0.3">
      <c r="A354" t="s">
        <v>4</v>
      </c>
      <c r="B354" s="1" t="s">
        <v>13</v>
      </c>
      <c r="C354" t="s">
        <v>12</v>
      </c>
      <c r="D354" t="s">
        <v>7</v>
      </c>
      <c r="E354" t="s">
        <v>17</v>
      </c>
    </row>
    <row r="355" spans="1:5" x14ac:dyDescent="0.3">
      <c r="A355" t="s">
        <v>4</v>
      </c>
      <c r="B355" s="1" t="s">
        <v>13</v>
      </c>
      <c r="C355" t="s">
        <v>12</v>
      </c>
      <c r="D355" t="s">
        <v>8</v>
      </c>
      <c r="E355" t="s">
        <v>17</v>
      </c>
    </row>
    <row r="356" spans="1:5" x14ac:dyDescent="0.3">
      <c r="A356" t="s">
        <v>4</v>
      </c>
      <c r="B356" s="1" t="s">
        <v>13</v>
      </c>
      <c r="C356" t="s">
        <v>12</v>
      </c>
      <c r="D356" t="s">
        <v>9</v>
      </c>
      <c r="E356" t="s">
        <v>17</v>
      </c>
    </row>
    <row r="357" spans="1:5" x14ac:dyDescent="0.3">
      <c r="A357" t="s">
        <v>4</v>
      </c>
      <c r="B357" s="1" t="s">
        <v>13</v>
      </c>
      <c r="C357" t="s">
        <v>10</v>
      </c>
      <c r="D357" t="s">
        <v>5</v>
      </c>
      <c r="E357" t="s">
        <v>17</v>
      </c>
    </row>
    <row r="358" spans="1:5" x14ac:dyDescent="0.3">
      <c r="A358" t="s">
        <v>4</v>
      </c>
      <c r="B358" s="1" t="s">
        <v>13</v>
      </c>
      <c r="C358" t="s">
        <v>12</v>
      </c>
      <c r="D358" t="s">
        <v>6</v>
      </c>
      <c r="E358" t="s">
        <v>17</v>
      </c>
    </row>
    <row r="359" spans="1:5" x14ac:dyDescent="0.3">
      <c r="A359" t="s">
        <v>4</v>
      </c>
      <c r="B359" s="1" t="s">
        <v>13</v>
      </c>
      <c r="C359" t="s">
        <v>12</v>
      </c>
      <c r="D359" t="s">
        <v>7</v>
      </c>
      <c r="E359" t="s">
        <v>17</v>
      </c>
    </row>
    <row r="360" spans="1:5" x14ac:dyDescent="0.3">
      <c r="A360" t="s">
        <v>4</v>
      </c>
      <c r="B360" s="1" t="s">
        <v>13</v>
      </c>
      <c r="C360" t="s">
        <v>12</v>
      </c>
      <c r="D360" t="s">
        <v>8</v>
      </c>
      <c r="E360" t="s">
        <v>17</v>
      </c>
    </row>
    <row r="361" spans="1:5" x14ac:dyDescent="0.3">
      <c r="A361" t="s">
        <v>4</v>
      </c>
      <c r="B361" s="1" t="s">
        <v>13</v>
      </c>
      <c r="C361" t="s">
        <v>12</v>
      </c>
      <c r="D361" t="s">
        <v>9</v>
      </c>
      <c r="E361" t="s">
        <v>17</v>
      </c>
    </row>
    <row r="362" spans="1:5" x14ac:dyDescent="0.3">
      <c r="A362" t="s">
        <v>4</v>
      </c>
      <c r="B362" s="1" t="s">
        <v>13</v>
      </c>
      <c r="C362" t="s">
        <v>10</v>
      </c>
      <c r="D362" t="s">
        <v>5</v>
      </c>
      <c r="E362" t="s">
        <v>17</v>
      </c>
    </row>
    <row r="363" spans="1:5" x14ac:dyDescent="0.3">
      <c r="A363" t="s">
        <v>4</v>
      </c>
      <c r="B363" s="1" t="s">
        <v>13</v>
      </c>
      <c r="C363" t="s">
        <v>12</v>
      </c>
      <c r="D363" t="s">
        <v>6</v>
      </c>
      <c r="E363" t="s">
        <v>17</v>
      </c>
    </row>
    <row r="364" spans="1:5" x14ac:dyDescent="0.3">
      <c r="A364" t="s">
        <v>4</v>
      </c>
      <c r="B364" s="1" t="s">
        <v>13</v>
      </c>
      <c r="C364" t="s">
        <v>12</v>
      </c>
      <c r="D364" t="s">
        <v>7</v>
      </c>
      <c r="E364" t="s">
        <v>17</v>
      </c>
    </row>
    <row r="365" spans="1:5" x14ac:dyDescent="0.3">
      <c r="A365" t="s">
        <v>4</v>
      </c>
      <c r="B365" s="1" t="s">
        <v>13</v>
      </c>
      <c r="C365" t="s">
        <v>12</v>
      </c>
      <c r="D365" t="s">
        <v>8</v>
      </c>
      <c r="E365" t="s">
        <v>17</v>
      </c>
    </row>
    <row r="366" spans="1:5" x14ac:dyDescent="0.3">
      <c r="A366" t="s">
        <v>4</v>
      </c>
      <c r="B366" s="1" t="s">
        <v>13</v>
      </c>
      <c r="C366" t="s">
        <v>12</v>
      </c>
      <c r="D366" t="s">
        <v>9</v>
      </c>
      <c r="E366" t="s">
        <v>17</v>
      </c>
    </row>
    <row r="367" spans="1:5" x14ac:dyDescent="0.3">
      <c r="A367" t="s">
        <v>4</v>
      </c>
      <c r="B367" s="1" t="s">
        <v>13</v>
      </c>
      <c r="C367" t="s">
        <v>10</v>
      </c>
      <c r="D367" t="s">
        <v>5</v>
      </c>
      <c r="E367" t="s">
        <v>17</v>
      </c>
    </row>
    <row r="368" spans="1:5" x14ac:dyDescent="0.3">
      <c r="A368" t="s">
        <v>4</v>
      </c>
      <c r="B368" s="1" t="s">
        <v>13</v>
      </c>
      <c r="C368" t="s">
        <v>12</v>
      </c>
      <c r="D368" t="s">
        <v>6</v>
      </c>
      <c r="E368" t="s">
        <v>17</v>
      </c>
    </row>
    <row r="369" spans="1:5" x14ac:dyDescent="0.3">
      <c r="A369" t="s">
        <v>4</v>
      </c>
      <c r="B369" s="1" t="s">
        <v>13</v>
      </c>
      <c r="C369" t="s">
        <v>12</v>
      </c>
      <c r="D369" t="s">
        <v>7</v>
      </c>
      <c r="E369" t="s">
        <v>17</v>
      </c>
    </row>
    <row r="370" spans="1:5" x14ac:dyDescent="0.3">
      <c r="A370" t="s">
        <v>4</v>
      </c>
      <c r="B370" s="1" t="s">
        <v>13</v>
      </c>
      <c r="C370" t="s">
        <v>12</v>
      </c>
      <c r="D370" t="s">
        <v>8</v>
      </c>
      <c r="E370" t="s">
        <v>17</v>
      </c>
    </row>
    <row r="371" spans="1:5" x14ac:dyDescent="0.3">
      <c r="A371" t="s">
        <v>4</v>
      </c>
      <c r="B371" s="1" t="s">
        <v>13</v>
      </c>
      <c r="C371" t="s">
        <v>12</v>
      </c>
      <c r="D371" t="s">
        <v>9</v>
      </c>
      <c r="E371" t="s">
        <v>17</v>
      </c>
    </row>
    <row r="372" spans="1:5" x14ac:dyDescent="0.3">
      <c r="A372" t="s">
        <v>4</v>
      </c>
      <c r="B372" s="1" t="s">
        <v>13</v>
      </c>
      <c r="C372" t="s">
        <v>10</v>
      </c>
      <c r="D372" t="s">
        <v>5</v>
      </c>
      <c r="E372" t="s">
        <v>17</v>
      </c>
    </row>
    <row r="373" spans="1:5" x14ac:dyDescent="0.3">
      <c r="A373" t="s">
        <v>4</v>
      </c>
      <c r="B373" s="1" t="s">
        <v>13</v>
      </c>
      <c r="C373" t="s">
        <v>12</v>
      </c>
      <c r="D373" t="s">
        <v>6</v>
      </c>
      <c r="E373" t="s">
        <v>17</v>
      </c>
    </row>
    <row r="374" spans="1:5" x14ac:dyDescent="0.3">
      <c r="A374" t="s">
        <v>4</v>
      </c>
      <c r="B374" s="1" t="s">
        <v>13</v>
      </c>
      <c r="C374" t="s">
        <v>12</v>
      </c>
      <c r="D374" t="s">
        <v>7</v>
      </c>
      <c r="E374" t="s">
        <v>17</v>
      </c>
    </row>
    <row r="375" spans="1:5" x14ac:dyDescent="0.3">
      <c r="A375" t="s">
        <v>4</v>
      </c>
      <c r="B375" s="1" t="s">
        <v>13</v>
      </c>
      <c r="C375" t="s">
        <v>12</v>
      </c>
      <c r="D375" t="s">
        <v>8</v>
      </c>
      <c r="E375" t="s">
        <v>17</v>
      </c>
    </row>
    <row r="376" spans="1:5" x14ac:dyDescent="0.3">
      <c r="A376" t="s">
        <v>4</v>
      </c>
      <c r="B376" s="1" t="s">
        <v>13</v>
      </c>
      <c r="C376" t="s">
        <v>12</v>
      </c>
      <c r="D376" t="s">
        <v>9</v>
      </c>
      <c r="E376" t="s">
        <v>17</v>
      </c>
    </row>
    <row r="377" spans="1:5" x14ac:dyDescent="0.3">
      <c r="A377" t="s">
        <v>4</v>
      </c>
      <c r="B377" s="1" t="s">
        <v>13</v>
      </c>
      <c r="C377" t="s">
        <v>10</v>
      </c>
      <c r="D377" t="s">
        <v>5</v>
      </c>
      <c r="E377" t="s">
        <v>17</v>
      </c>
    </row>
    <row r="378" spans="1:5" x14ac:dyDescent="0.3">
      <c r="A378" t="s">
        <v>4</v>
      </c>
      <c r="B378" s="1" t="s">
        <v>13</v>
      </c>
      <c r="C378" t="s">
        <v>12</v>
      </c>
      <c r="D378" t="s">
        <v>6</v>
      </c>
      <c r="E378" t="s">
        <v>17</v>
      </c>
    </row>
    <row r="379" spans="1:5" x14ac:dyDescent="0.3">
      <c r="A379" t="s">
        <v>4</v>
      </c>
      <c r="B379" s="1" t="s">
        <v>13</v>
      </c>
      <c r="C379" t="s">
        <v>12</v>
      </c>
      <c r="D379" t="s">
        <v>7</v>
      </c>
      <c r="E379" t="s">
        <v>17</v>
      </c>
    </row>
    <row r="380" spans="1:5" x14ac:dyDescent="0.3">
      <c r="A380" t="s">
        <v>4</v>
      </c>
      <c r="B380" s="1" t="s">
        <v>13</v>
      </c>
      <c r="C380" t="s">
        <v>12</v>
      </c>
      <c r="D380" t="s">
        <v>8</v>
      </c>
      <c r="E380" t="s">
        <v>17</v>
      </c>
    </row>
    <row r="381" spans="1:5" x14ac:dyDescent="0.3">
      <c r="A381" t="s">
        <v>4</v>
      </c>
      <c r="B381" s="1" t="s">
        <v>13</v>
      </c>
      <c r="C381" t="s">
        <v>12</v>
      </c>
      <c r="D381" t="s">
        <v>9</v>
      </c>
      <c r="E381" t="s">
        <v>17</v>
      </c>
    </row>
    <row r="382" spans="1:5" x14ac:dyDescent="0.3">
      <c r="A382" t="s">
        <v>4</v>
      </c>
      <c r="B382" s="1" t="s">
        <v>13</v>
      </c>
      <c r="C382" t="s">
        <v>10</v>
      </c>
      <c r="D382" t="s">
        <v>5</v>
      </c>
      <c r="E382" t="s">
        <v>17</v>
      </c>
    </row>
    <row r="383" spans="1:5" x14ac:dyDescent="0.3">
      <c r="A383" t="s">
        <v>4</v>
      </c>
      <c r="B383" s="1" t="s">
        <v>13</v>
      </c>
      <c r="C383" t="s">
        <v>12</v>
      </c>
      <c r="D383" t="s">
        <v>6</v>
      </c>
      <c r="E383" t="s">
        <v>17</v>
      </c>
    </row>
    <row r="384" spans="1:5" x14ac:dyDescent="0.3">
      <c r="A384" t="s">
        <v>4</v>
      </c>
      <c r="B384" s="1" t="s">
        <v>13</v>
      </c>
      <c r="C384" t="s">
        <v>12</v>
      </c>
      <c r="D384" t="s">
        <v>7</v>
      </c>
      <c r="E384" t="s">
        <v>17</v>
      </c>
    </row>
    <row r="385" spans="1:5" x14ac:dyDescent="0.3">
      <c r="A385" t="s">
        <v>4</v>
      </c>
      <c r="B385" s="1" t="s">
        <v>13</v>
      </c>
      <c r="C385" t="s">
        <v>12</v>
      </c>
      <c r="D385" t="s">
        <v>8</v>
      </c>
      <c r="E385" t="s">
        <v>17</v>
      </c>
    </row>
    <row r="386" spans="1:5" x14ac:dyDescent="0.3">
      <c r="A386" t="s">
        <v>4</v>
      </c>
      <c r="B386" s="1" t="s">
        <v>13</v>
      </c>
      <c r="C386" t="s">
        <v>12</v>
      </c>
      <c r="D386" t="s">
        <v>9</v>
      </c>
      <c r="E386" t="s">
        <v>17</v>
      </c>
    </row>
    <row r="387" spans="1:5" x14ac:dyDescent="0.3">
      <c r="A387" t="s">
        <v>4</v>
      </c>
      <c r="B387" s="1" t="s">
        <v>13</v>
      </c>
      <c r="C387" t="s">
        <v>10</v>
      </c>
      <c r="D387" t="s">
        <v>5</v>
      </c>
      <c r="E387" t="s">
        <v>17</v>
      </c>
    </row>
    <row r="388" spans="1:5" x14ac:dyDescent="0.3">
      <c r="A388" t="s">
        <v>4</v>
      </c>
      <c r="B388" s="1" t="s">
        <v>13</v>
      </c>
      <c r="C388" t="s">
        <v>12</v>
      </c>
      <c r="D388" t="s">
        <v>6</v>
      </c>
      <c r="E388" t="s">
        <v>17</v>
      </c>
    </row>
    <row r="389" spans="1:5" x14ac:dyDescent="0.3">
      <c r="A389" t="s">
        <v>4</v>
      </c>
      <c r="B389" s="1" t="s">
        <v>13</v>
      </c>
      <c r="C389" t="s">
        <v>12</v>
      </c>
      <c r="D389" t="s">
        <v>7</v>
      </c>
      <c r="E389" t="s">
        <v>17</v>
      </c>
    </row>
    <row r="390" spans="1:5" x14ac:dyDescent="0.3">
      <c r="A390" t="s">
        <v>4</v>
      </c>
      <c r="B390" s="1" t="s">
        <v>13</v>
      </c>
      <c r="C390" t="s">
        <v>12</v>
      </c>
      <c r="D390" t="s">
        <v>8</v>
      </c>
      <c r="E390" t="s">
        <v>17</v>
      </c>
    </row>
    <row r="391" spans="1:5" x14ac:dyDescent="0.3">
      <c r="A391" t="s">
        <v>4</v>
      </c>
      <c r="B391" s="1" t="s">
        <v>13</v>
      </c>
      <c r="C391" t="s">
        <v>12</v>
      </c>
      <c r="D391" t="s">
        <v>9</v>
      </c>
      <c r="E391" t="s">
        <v>17</v>
      </c>
    </row>
    <row r="392" spans="1:5" x14ac:dyDescent="0.3">
      <c r="A392" t="s">
        <v>4</v>
      </c>
      <c r="B392" s="1" t="s">
        <v>13</v>
      </c>
      <c r="C392" t="s">
        <v>10</v>
      </c>
      <c r="D392" t="s">
        <v>5</v>
      </c>
      <c r="E392" t="s">
        <v>17</v>
      </c>
    </row>
    <row r="393" spans="1:5" x14ac:dyDescent="0.3">
      <c r="A393" t="s">
        <v>4</v>
      </c>
      <c r="B393" s="1" t="s">
        <v>13</v>
      </c>
      <c r="C393" t="s">
        <v>12</v>
      </c>
      <c r="D393" t="s">
        <v>6</v>
      </c>
      <c r="E393" t="s">
        <v>17</v>
      </c>
    </row>
    <row r="394" spans="1:5" x14ac:dyDescent="0.3">
      <c r="A394" t="s">
        <v>4</v>
      </c>
      <c r="B394" s="1" t="s">
        <v>13</v>
      </c>
      <c r="C394" t="s">
        <v>12</v>
      </c>
      <c r="D394" t="s">
        <v>7</v>
      </c>
      <c r="E394" t="s">
        <v>17</v>
      </c>
    </row>
    <row r="395" spans="1:5" x14ac:dyDescent="0.3">
      <c r="A395" t="s">
        <v>4</v>
      </c>
      <c r="B395" s="1" t="s">
        <v>13</v>
      </c>
      <c r="C395" t="s">
        <v>12</v>
      </c>
      <c r="D395" t="s">
        <v>8</v>
      </c>
      <c r="E395" t="s">
        <v>17</v>
      </c>
    </row>
    <row r="396" spans="1:5" x14ac:dyDescent="0.3">
      <c r="A396" t="s">
        <v>4</v>
      </c>
      <c r="B396" s="1" t="s">
        <v>13</v>
      </c>
      <c r="C396" t="s">
        <v>12</v>
      </c>
      <c r="D396" t="s">
        <v>9</v>
      </c>
      <c r="E396" t="s">
        <v>17</v>
      </c>
    </row>
    <row r="397" spans="1:5" x14ac:dyDescent="0.3">
      <c r="A397" t="s">
        <v>4</v>
      </c>
      <c r="B397" s="1" t="s">
        <v>13</v>
      </c>
      <c r="C397" t="s">
        <v>10</v>
      </c>
      <c r="D397" t="s">
        <v>5</v>
      </c>
      <c r="E397" t="s">
        <v>17</v>
      </c>
    </row>
    <row r="398" spans="1:5" x14ac:dyDescent="0.3">
      <c r="A398" t="s">
        <v>4</v>
      </c>
      <c r="B398" s="1" t="s">
        <v>13</v>
      </c>
      <c r="C398" t="s">
        <v>12</v>
      </c>
      <c r="D398" t="s">
        <v>6</v>
      </c>
      <c r="E398" t="s">
        <v>17</v>
      </c>
    </row>
    <row r="399" spans="1:5" x14ac:dyDescent="0.3">
      <c r="A399" t="s">
        <v>4</v>
      </c>
      <c r="B399" s="1" t="s">
        <v>13</v>
      </c>
      <c r="C399" t="s">
        <v>12</v>
      </c>
      <c r="D399" t="s">
        <v>7</v>
      </c>
      <c r="E399" t="s">
        <v>17</v>
      </c>
    </row>
    <row r="400" spans="1:5" x14ac:dyDescent="0.3">
      <c r="A400" t="s">
        <v>4</v>
      </c>
      <c r="B400" s="1" t="s">
        <v>13</v>
      </c>
      <c r="C400" t="s">
        <v>12</v>
      </c>
      <c r="D400" t="s">
        <v>8</v>
      </c>
      <c r="E400" t="s">
        <v>17</v>
      </c>
    </row>
    <row r="401" spans="1:5" x14ac:dyDescent="0.3">
      <c r="A401" t="s">
        <v>4</v>
      </c>
      <c r="B401" s="1" t="s">
        <v>13</v>
      </c>
      <c r="C401" t="s">
        <v>12</v>
      </c>
      <c r="D401" t="s">
        <v>9</v>
      </c>
      <c r="E401" t="s">
        <v>17</v>
      </c>
    </row>
    <row r="402" spans="1:5" x14ac:dyDescent="0.3">
      <c r="A402" t="s">
        <v>4</v>
      </c>
      <c r="B402" s="1" t="s">
        <v>13</v>
      </c>
      <c r="C402" t="s">
        <v>10</v>
      </c>
      <c r="D402" t="s">
        <v>5</v>
      </c>
      <c r="E402" t="s">
        <v>17</v>
      </c>
    </row>
    <row r="403" spans="1:5" x14ac:dyDescent="0.3">
      <c r="A403" t="s">
        <v>4</v>
      </c>
      <c r="B403" s="1" t="s">
        <v>13</v>
      </c>
      <c r="C403" t="s">
        <v>12</v>
      </c>
      <c r="D403" t="s">
        <v>6</v>
      </c>
      <c r="E403" t="s">
        <v>17</v>
      </c>
    </row>
    <row r="404" spans="1:5" x14ac:dyDescent="0.3">
      <c r="A404" t="s">
        <v>4</v>
      </c>
      <c r="B404" s="1" t="s">
        <v>13</v>
      </c>
      <c r="C404" t="s">
        <v>12</v>
      </c>
      <c r="D404" t="s">
        <v>7</v>
      </c>
      <c r="E404" t="s">
        <v>17</v>
      </c>
    </row>
    <row r="405" spans="1:5" x14ac:dyDescent="0.3">
      <c r="A405" t="s">
        <v>4</v>
      </c>
      <c r="B405" s="1" t="s">
        <v>13</v>
      </c>
      <c r="C405" t="s">
        <v>12</v>
      </c>
      <c r="D405" t="s">
        <v>8</v>
      </c>
      <c r="E405" t="s">
        <v>17</v>
      </c>
    </row>
    <row r="406" spans="1:5" x14ac:dyDescent="0.3">
      <c r="A406" t="s">
        <v>4</v>
      </c>
      <c r="B406" s="1" t="s">
        <v>13</v>
      </c>
      <c r="C406" t="s">
        <v>12</v>
      </c>
      <c r="D406" t="s">
        <v>9</v>
      </c>
      <c r="E406" t="s">
        <v>17</v>
      </c>
    </row>
    <row r="407" spans="1:5" x14ac:dyDescent="0.3">
      <c r="A407" t="s">
        <v>4</v>
      </c>
      <c r="B407" s="1" t="s">
        <v>13</v>
      </c>
      <c r="C407" t="s">
        <v>10</v>
      </c>
      <c r="D407" t="s">
        <v>5</v>
      </c>
      <c r="E407" t="s">
        <v>17</v>
      </c>
    </row>
    <row r="408" spans="1:5" x14ac:dyDescent="0.3">
      <c r="A408" t="s">
        <v>4</v>
      </c>
      <c r="B408" s="1" t="s">
        <v>13</v>
      </c>
      <c r="C408" t="s">
        <v>12</v>
      </c>
      <c r="D408" t="s">
        <v>6</v>
      </c>
      <c r="E408" t="s">
        <v>17</v>
      </c>
    </row>
    <row r="409" spans="1:5" x14ac:dyDescent="0.3">
      <c r="A409" t="s">
        <v>4</v>
      </c>
      <c r="B409" s="1" t="s">
        <v>13</v>
      </c>
      <c r="C409" t="s">
        <v>12</v>
      </c>
      <c r="D409" t="s">
        <v>7</v>
      </c>
      <c r="E409" t="s">
        <v>17</v>
      </c>
    </row>
    <row r="410" spans="1:5" x14ac:dyDescent="0.3">
      <c r="A410" t="s">
        <v>4</v>
      </c>
      <c r="B410" s="1" t="s">
        <v>13</v>
      </c>
      <c r="C410" t="s">
        <v>12</v>
      </c>
      <c r="D410" t="s">
        <v>8</v>
      </c>
      <c r="E410" t="s">
        <v>17</v>
      </c>
    </row>
    <row r="411" spans="1:5" x14ac:dyDescent="0.3">
      <c r="A411" t="s">
        <v>4</v>
      </c>
      <c r="B411" s="1" t="s">
        <v>13</v>
      </c>
      <c r="C411" t="s">
        <v>12</v>
      </c>
      <c r="D411" t="s">
        <v>9</v>
      </c>
      <c r="E411" t="s">
        <v>17</v>
      </c>
    </row>
    <row r="412" spans="1:5" x14ac:dyDescent="0.3">
      <c r="A412" t="s">
        <v>4</v>
      </c>
      <c r="B412" s="1" t="s">
        <v>13</v>
      </c>
      <c r="C412" t="s">
        <v>10</v>
      </c>
      <c r="D412" t="s">
        <v>5</v>
      </c>
      <c r="E412" t="s">
        <v>17</v>
      </c>
    </row>
    <row r="413" spans="1:5" x14ac:dyDescent="0.3">
      <c r="A413" t="s">
        <v>4</v>
      </c>
      <c r="B413" s="1" t="s">
        <v>13</v>
      </c>
      <c r="C413" t="s">
        <v>12</v>
      </c>
      <c r="D413" t="s">
        <v>6</v>
      </c>
      <c r="E413" t="s">
        <v>17</v>
      </c>
    </row>
    <row r="414" spans="1:5" x14ac:dyDescent="0.3">
      <c r="A414" t="s">
        <v>4</v>
      </c>
      <c r="B414" s="1" t="s">
        <v>13</v>
      </c>
      <c r="C414" t="s">
        <v>12</v>
      </c>
      <c r="D414" t="s">
        <v>7</v>
      </c>
      <c r="E414" t="s">
        <v>17</v>
      </c>
    </row>
    <row r="415" spans="1:5" x14ac:dyDescent="0.3">
      <c r="A415" t="s">
        <v>4</v>
      </c>
      <c r="B415" s="1" t="s">
        <v>13</v>
      </c>
      <c r="C415" t="s">
        <v>12</v>
      </c>
      <c r="D415" t="s">
        <v>8</v>
      </c>
      <c r="E415" t="s">
        <v>17</v>
      </c>
    </row>
    <row r="416" spans="1:5" x14ac:dyDescent="0.3">
      <c r="A416" t="s">
        <v>4</v>
      </c>
      <c r="B416" s="1" t="s">
        <v>13</v>
      </c>
      <c r="C416" t="s">
        <v>12</v>
      </c>
      <c r="D416" t="s">
        <v>9</v>
      </c>
      <c r="E416" t="s">
        <v>17</v>
      </c>
    </row>
    <row r="417" spans="1:5" x14ac:dyDescent="0.3">
      <c r="A417" t="s">
        <v>4</v>
      </c>
      <c r="B417" s="1" t="s">
        <v>13</v>
      </c>
      <c r="C417" t="s">
        <v>10</v>
      </c>
      <c r="D417" t="s">
        <v>5</v>
      </c>
      <c r="E417" t="s">
        <v>17</v>
      </c>
    </row>
    <row r="418" spans="1:5" x14ac:dyDescent="0.3">
      <c r="A418" t="s">
        <v>4</v>
      </c>
      <c r="B418" s="1" t="s">
        <v>13</v>
      </c>
      <c r="C418" t="s">
        <v>12</v>
      </c>
      <c r="D418" t="s">
        <v>6</v>
      </c>
      <c r="E418" t="s">
        <v>17</v>
      </c>
    </row>
    <row r="419" spans="1:5" x14ac:dyDescent="0.3">
      <c r="A419" t="s">
        <v>4</v>
      </c>
      <c r="B419" s="1" t="s">
        <v>13</v>
      </c>
      <c r="C419" t="s">
        <v>12</v>
      </c>
      <c r="D419" t="s">
        <v>7</v>
      </c>
      <c r="E419" t="s">
        <v>17</v>
      </c>
    </row>
    <row r="420" spans="1:5" x14ac:dyDescent="0.3">
      <c r="A420" t="s">
        <v>4</v>
      </c>
      <c r="B420" s="1" t="s">
        <v>13</v>
      </c>
      <c r="C420" t="s">
        <v>12</v>
      </c>
      <c r="D420" t="s">
        <v>8</v>
      </c>
      <c r="E420" t="s">
        <v>17</v>
      </c>
    </row>
    <row r="421" spans="1:5" x14ac:dyDescent="0.3">
      <c r="A421" t="s">
        <v>4</v>
      </c>
      <c r="B421" s="1" t="s">
        <v>13</v>
      </c>
      <c r="C421" t="s">
        <v>12</v>
      </c>
      <c r="D421" t="s">
        <v>9</v>
      </c>
      <c r="E421" t="s">
        <v>17</v>
      </c>
    </row>
    <row r="422" spans="1:5" x14ac:dyDescent="0.3">
      <c r="A422" t="s">
        <v>4</v>
      </c>
      <c r="B422" s="1" t="s">
        <v>13</v>
      </c>
      <c r="C422" t="s">
        <v>10</v>
      </c>
      <c r="D422" t="s">
        <v>5</v>
      </c>
      <c r="E422" t="s">
        <v>17</v>
      </c>
    </row>
    <row r="423" spans="1:5" x14ac:dyDescent="0.3">
      <c r="A423" t="s">
        <v>4</v>
      </c>
      <c r="B423" s="1" t="s">
        <v>13</v>
      </c>
      <c r="C423" t="s">
        <v>12</v>
      </c>
      <c r="D423" t="s">
        <v>6</v>
      </c>
      <c r="E423" t="s">
        <v>17</v>
      </c>
    </row>
    <row r="424" spans="1:5" x14ac:dyDescent="0.3">
      <c r="A424" t="s">
        <v>4</v>
      </c>
      <c r="B424" s="1" t="s">
        <v>13</v>
      </c>
      <c r="C424" t="s">
        <v>12</v>
      </c>
      <c r="D424" t="s">
        <v>7</v>
      </c>
      <c r="E424" t="s">
        <v>17</v>
      </c>
    </row>
    <row r="425" spans="1:5" x14ac:dyDescent="0.3">
      <c r="A425" t="s">
        <v>4</v>
      </c>
      <c r="B425" s="1" t="s">
        <v>13</v>
      </c>
      <c r="C425" t="s">
        <v>12</v>
      </c>
      <c r="D425" t="s">
        <v>8</v>
      </c>
      <c r="E425" t="s">
        <v>17</v>
      </c>
    </row>
    <row r="426" spans="1:5" x14ac:dyDescent="0.3">
      <c r="A426" t="s">
        <v>4</v>
      </c>
      <c r="B426" s="1" t="s">
        <v>13</v>
      </c>
      <c r="C426" t="s">
        <v>12</v>
      </c>
      <c r="D426" t="s">
        <v>9</v>
      </c>
      <c r="E426" t="s">
        <v>17</v>
      </c>
    </row>
    <row r="427" spans="1:5" x14ac:dyDescent="0.3">
      <c r="A427" t="s">
        <v>4</v>
      </c>
      <c r="B427" s="1" t="s">
        <v>13</v>
      </c>
      <c r="C427" t="s">
        <v>10</v>
      </c>
      <c r="D427" t="s">
        <v>5</v>
      </c>
      <c r="E427" t="s">
        <v>17</v>
      </c>
    </row>
    <row r="428" spans="1:5" x14ac:dyDescent="0.3">
      <c r="A428" t="s">
        <v>4</v>
      </c>
      <c r="B428" s="1" t="s">
        <v>13</v>
      </c>
      <c r="C428" t="s">
        <v>12</v>
      </c>
      <c r="D428" t="s">
        <v>6</v>
      </c>
      <c r="E428" t="s">
        <v>17</v>
      </c>
    </row>
    <row r="429" spans="1:5" x14ac:dyDescent="0.3">
      <c r="A429" t="s">
        <v>4</v>
      </c>
      <c r="B429" s="1" t="s">
        <v>13</v>
      </c>
      <c r="C429" t="s">
        <v>12</v>
      </c>
      <c r="D429" t="s">
        <v>7</v>
      </c>
      <c r="E429" t="s">
        <v>17</v>
      </c>
    </row>
    <row r="430" spans="1:5" x14ac:dyDescent="0.3">
      <c r="A430" t="s">
        <v>4</v>
      </c>
      <c r="B430" s="1" t="s">
        <v>13</v>
      </c>
      <c r="C430" t="s">
        <v>12</v>
      </c>
      <c r="D430" t="s">
        <v>8</v>
      </c>
      <c r="E430" t="s">
        <v>17</v>
      </c>
    </row>
    <row r="431" spans="1:5" x14ac:dyDescent="0.3">
      <c r="A431" t="s">
        <v>4</v>
      </c>
      <c r="B431" s="1" t="s">
        <v>13</v>
      </c>
      <c r="C431" t="s">
        <v>12</v>
      </c>
      <c r="D431" t="s">
        <v>9</v>
      </c>
      <c r="E431" t="s">
        <v>17</v>
      </c>
    </row>
    <row r="432" spans="1:5" x14ac:dyDescent="0.3">
      <c r="A432" t="s">
        <v>4</v>
      </c>
      <c r="B432" s="1" t="s">
        <v>13</v>
      </c>
      <c r="C432" t="s">
        <v>10</v>
      </c>
      <c r="D432" t="s">
        <v>5</v>
      </c>
      <c r="E432" t="s">
        <v>17</v>
      </c>
    </row>
    <row r="433" spans="1:5" x14ac:dyDescent="0.3">
      <c r="A433" t="s">
        <v>4</v>
      </c>
      <c r="B433" s="1" t="s">
        <v>13</v>
      </c>
      <c r="C433" t="s">
        <v>12</v>
      </c>
      <c r="D433" t="s">
        <v>6</v>
      </c>
      <c r="E433" t="s">
        <v>17</v>
      </c>
    </row>
    <row r="434" spans="1:5" x14ac:dyDescent="0.3">
      <c r="A434" t="s">
        <v>4</v>
      </c>
      <c r="B434" s="1" t="s">
        <v>13</v>
      </c>
      <c r="C434" t="s">
        <v>12</v>
      </c>
      <c r="D434" t="s">
        <v>7</v>
      </c>
      <c r="E434" t="s">
        <v>17</v>
      </c>
    </row>
    <row r="435" spans="1:5" x14ac:dyDescent="0.3">
      <c r="A435" t="s">
        <v>4</v>
      </c>
      <c r="B435" s="1" t="s">
        <v>13</v>
      </c>
      <c r="C435" t="s">
        <v>12</v>
      </c>
      <c r="D435" t="s">
        <v>8</v>
      </c>
      <c r="E435" t="s">
        <v>17</v>
      </c>
    </row>
    <row r="436" spans="1:5" x14ac:dyDescent="0.3">
      <c r="A436" t="s">
        <v>4</v>
      </c>
      <c r="B436" s="1" t="s">
        <v>13</v>
      </c>
      <c r="C436" t="s">
        <v>12</v>
      </c>
      <c r="D436" t="s">
        <v>9</v>
      </c>
      <c r="E436" t="s">
        <v>17</v>
      </c>
    </row>
    <row r="437" spans="1:5" x14ac:dyDescent="0.3">
      <c r="A437" t="s">
        <v>4</v>
      </c>
      <c r="B437" s="1" t="s">
        <v>13</v>
      </c>
      <c r="C437" t="s">
        <v>10</v>
      </c>
      <c r="D437" t="s">
        <v>5</v>
      </c>
      <c r="E437" t="s">
        <v>17</v>
      </c>
    </row>
    <row r="438" spans="1:5" x14ac:dyDescent="0.3">
      <c r="A438" t="s">
        <v>4</v>
      </c>
      <c r="B438" s="1" t="s">
        <v>13</v>
      </c>
      <c r="C438" t="s">
        <v>12</v>
      </c>
      <c r="D438" t="s">
        <v>6</v>
      </c>
      <c r="E438" t="s">
        <v>17</v>
      </c>
    </row>
    <row r="439" spans="1:5" x14ac:dyDescent="0.3">
      <c r="A439" t="s">
        <v>4</v>
      </c>
      <c r="B439" s="1" t="s">
        <v>13</v>
      </c>
      <c r="C439" t="s">
        <v>12</v>
      </c>
      <c r="D439" t="s">
        <v>7</v>
      </c>
      <c r="E439" t="s">
        <v>17</v>
      </c>
    </row>
    <row r="440" spans="1:5" x14ac:dyDescent="0.3">
      <c r="A440" t="s">
        <v>4</v>
      </c>
      <c r="B440" s="1" t="s">
        <v>13</v>
      </c>
      <c r="C440" t="s">
        <v>12</v>
      </c>
      <c r="D440" t="s">
        <v>8</v>
      </c>
      <c r="E440" t="s">
        <v>17</v>
      </c>
    </row>
    <row r="441" spans="1:5" x14ac:dyDescent="0.3">
      <c r="A441" t="s">
        <v>4</v>
      </c>
      <c r="B441" s="1" t="s">
        <v>13</v>
      </c>
      <c r="C441" t="s">
        <v>12</v>
      </c>
      <c r="D441" t="s">
        <v>9</v>
      </c>
      <c r="E441" t="s">
        <v>17</v>
      </c>
    </row>
    <row r="442" spans="1:5" x14ac:dyDescent="0.3">
      <c r="A442" t="s">
        <v>4</v>
      </c>
      <c r="B442" s="1" t="s">
        <v>13</v>
      </c>
      <c r="C442" t="s">
        <v>10</v>
      </c>
      <c r="D442" t="s">
        <v>5</v>
      </c>
      <c r="E442" t="s">
        <v>17</v>
      </c>
    </row>
    <row r="443" spans="1:5" x14ac:dyDescent="0.3">
      <c r="A443" t="s">
        <v>4</v>
      </c>
      <c r="B443" s="1" t="s">
        <v>13</v>
      </c>
      <c r="C443" t="s">
        <v>12</v>
      </c>
      <c r="D443" t="s">
        <v>6</v>
      </c>
      <c r="E443" t="s">
        <v>17</v>
      </c>
    </row>
    <row r="444" spans="1:5" x14ac:dyDescent="0.3">
      <c r="A444" t="s">
        <v>4</v>
      </c>
      <c r="B444" s="1" t="s">
        <v>13</v>
      </c>
      <c r="C444" t="s">
        <v>12</v>
      </c>
      <c r="D444" t="s">
        <v>7</v>
      </c>
      <c r="E444" t="s">
        <v>17</v>
      </c>
    </row>
    <row r="445" spans="1:5" x14ac:dyDescent="0.3">
      <c r="A445" t="s">
        <v>4</v>
      </c>
      <c r="B445" s="1" t="s">
        <v>13</v>
      </c>
      <c r="C445" t="s">
        <v>12</v>
      </c>
      <c r="D445" t="s">
        <v>8</v>
      </c>
      <c r="E445" t="s">
        <v>17</v>
      </c>
    </row>
    <row r="446" spans="1:5" x14ac:dyDescent="0.3">
      <c r="A446" t="s">
        <v>4</v>
      </c>
      <c r="B446" s="1" t="s">
        <v>13</v>
      </c>
      <c r="C446" t="s">
        <v>12</v>
      </c>
      <c r="D446" t="s">
        <v>9</v>
      </c>
      <c r="E446" t="s">
        <v>17</v>
      </c>
    </row>
    <row r="447" spans="1:5" x14ac:dyDescent="0.3">
      <c r="A447" t="s">
        <v>4</v>
      </c>
      <c r="B447" s="1" t="s">
        <v>13</v>
      </c>
      <c r="C447" t="s">
        <v>10</v>
      </c>
      <c r="D447" t="s">
        <v>5</v>
      </c>
      <c r="E447" t="s">
        <v>17</v>
      </c>
    </row>
    <row r="448" spans="1:5" x14ac:dyDescent="0.3">
      <c r="A448" t="s">
        <v>4</v>
      </c>
      <c r="B448" s="1" t="s">
        <v>13</v>
      </c>
      <c r="C448" t="s">
        <v>12</v>
      </c>
      <c r="D448" t="s">
        <v>6</v>
      </c>
      <c r="E448" t="s">
        <v>17</v>
      </c>
    </row>
    <row r="449" spans="1:5" x14ac:dyDescent="0.3">
      <c r="A449" t="s">
        <v>4</v>
      </c>
      <c r="B449" s="1" t="s">
        <v>13</v>
      </c>
      <c r="C449" t="s">
        <v>12</v>
      </c>
      <c r="D449" t="s">
        <v>7</v>
      </c>
      <c r="E449" t="s">
        <v>17</v>
      </c>
    </row>
    <row r="450" spans="1:5" x14ac:dyDescent="0.3">
      <c r="A450" t="s">
        <v>4</v>
      </c>
      <c r="B450" s="1" t="s">
        <v>13</v>
      </c>
      <c r="C450" t="s">
        <v>12</v>
      </c>
      <c r="D450" t="s">
        <v>8</v>
      </c>
      <c r="E450" t="s">
        <v>17</v>
      </c>
    </row>
    <row r="451" spans="1:5" x14ac:dyDescent="0.3">
      <c r="A451" t="s">
        <v>4</v>
      </c>
      <c r="B451" s="1" t="s">
        <v>13</v>
      </c>
      <c r="C451" t="s">
        <v>12</v>
      </c>
      <c r="D451" t="s">
        <v>9</v>
      </c>
      <c r="E451" t="s">
        <v>17</v>
      </c>
    </row>
    <row r="452" spans="1:5" x14ac:dyDescent="0.3">
      <c r="A452" t="s">
        <v>4</v>
      </c>
      <c r="B452" s="1" t="s">
        <v>13</v>
      </c>
      <c r="C452" t="s">
        <v>10</v>
      </c>
      <c r="D452" t="s">
        <v>5</v>
      </c>
      <c r="E452" t="s">
        <v>17</v>
      </c>
    </row>
    <row r="453" spans="1:5" x14ac:dyDescent="0.3">
      <c r="A453" t="s">
        <v>4</v>
      </c>
      <c r="B453" s="1" t="s">
        <v>13</v>
      </c>
      <c r="C453" t="s">
        <v>12</v>
      </c>
      <c r="D453" t="s">
        <v>6</v>
      </c>
      <c r="E453" t="s">
        <v>17</v>
      </c>
    </row>
    <row r="454" spans="1:5" x14ac:dyDescent="0.3">
      <c r="A454" t="s">
        <v>4</v>
      </c>
      <c r="B454" s="1" t="s">
        <v>13</v>
      </c>
      <c r="C454" t="s">
        <v>12</v>
      </c>
      <c r="D454" t="s">
        <v>7</v>
      </c>
      <c r="E454" t="s">
        <v>17</v>
      </c>
    </row>
    <row r="455" spans="1:5" x14ac:dyDescent="0.3">
      <c r="A455" t="s">
        <v>4</v>
      </c>
      <c r="B455" s="1" t="s">
        <v>13</v>
      </c>
      <c r="C455" t="s">
        <v>12</v>
      </c>
      <c r="D455" t="s">
        <v>8</v>
      </c>
      <c r="E455" t="s">
        <v>17</v>
      </c>
    </row>
    <row r="456" spans="1:5" x14ac:dyDescent="0.3">
      <c r="A456" t="s">
        <v>4</v>
      </c>
      <c r="B456" s="1" t="s">
        <v>13</v>
      </c>
      <c r="C456" t="s">
        <v>12</v>
      </c>
      <c r="D456" t="s">
        <v>9</v>
      </c>
      <c r="E456" t="s">
        <v>17</v>
      </c>
    </row>
    <row r="457" spans="1:5" x14ac:dyDescent="0.3">
      <c r="A457" t="s">
        <v>4</v>
      </c>
      <c r="B457" s="1" t="s">
        <v>13</v>
      </c>
      <c r="C457" t="s">
        <v>10</v>
      </c>
      <c r="D457" t="s">
        <v>5</v>
      </c>
      <c r="E457" t="s">
        <v>17</v>
      </c>
    </row>
    <row r="458" spans="1:5" x14ac:dyDescent="0.3">
      <c r="A458" t="s">
        <v>4</v>
      </c>
      <c r="B458" s="1" t="s">
        <v>13</v>
      </c>
      <c r="C458" t="s">
        <v>12</v>
      </c>
      <c r="D458" t="s">
        <v>6</v>
      </c>
      <c r="E458" t="s">
        <v>17</v>
      </c>
    </row>
    <row r="459" spans="1:5" x14ac:dyDescent="0.3">
      <c r="A459" t="s">
        <v>4</v>
      </c>
      <c r="B459" s="1" t="s">
        <v>13</v>
      </c>
      <c r="C459" t="s">
        <v>12</v>
      </c>
      <c r="D459" t="s">
        <v>7</v>
      </c>
      <c r="E459" t="s">
        <v>17</v>
      </c>
    </row>
    <row r="460" spans="1:5" x14ac:dyDescent="0.3">
      <c r="A460" t="s">
        <v>4</v>
      </c>
      <c r="B460" s="1" t="s">
        <v>13</v>
      </c>
      <c r="C460" t="s">
        <v>12</v>
      </c>
      <c r="D460" t="s">
        <v>8</v>
      </c>
      <c r="E460" t="s">
        <v>17</v>
      </c>
    </row>
    <row r="461" spans="1:5" x14ac:dyDescent="0.3">
      <c r="A461" t="s">
        <v>4</v>
      </c>
      <c r="B461" s="1" t="s">
        <v>13</v>
      </c>
      <c r="C461" t="s">
        <v>12</v>
      </c>
      <c r="D461" t="s">
        <v>9</v>
      </c>
      <c r="E461" t="s">
        <v>17</v>
      </c>
    </row>
    <row r="462" spans="1:5" x14ac:dyDescent="0.3">
      <c r="A462" t="s">
        <v>4</v>
      </c>
      <c r="B462" s="1" t="s">
        <v>13</v>
      </c>
      <c r="C462" t="s">
        <v>10</v>
      </c>
      <c r="D462" t="s">
        <v>5</v>
      </c>
      <c r="E462" t="s">
        <v>17</v>
      </c>
    </row>
    <row r="463" spans="1:5" x14ac:dyDescent="0.3">
      <c r="A463" t="s">
        <v>4</v>
      </c>
      <c r="B463" s="1" t="s">
        <v>13</v>
      </c>
      <c r="C463" t="s">
        <v>12</v>
      </c>
      <c r="D463" t="s">
        <v>6</v>
      </c>
      <c r="E463" t="s">
        <v>17</v>
      </c>
    </row>
    <row r="464" spans="1:5" x14ac:dyDescent="0.3">
      <c r="A464" t="s">
        <v>4</v>
      </c>
      <c r="B464" s="1" t="s">
        <v>13</v>
      </c>
      <c r="C464" t="s">
        <v>12</v>
      </c>
      <c r="D464" t="s">
        <v>7</v>
      </c>
      <c r="E464" t="s">
        <v>17</v>
      </c>
    </row>
    <row r="465" spans="1:5" x14ac:dyDescent="0.3">
      <c r="A465" t="s">
        <v>4</v>
      </c>
      <c r="B465" s="1" t="s">
        <v>13</v>
      </c>
      <c r="C465" t="s">
        <v>12</v>
      </c>
      <c r="D465" t="s">
        <v>8</v>
      </c>
      <c r="E465" t="s">
        <v>17</v>
      </c>
    </row>
    <row r="466" spans="1:5" x14ac:dyDescent="0.3">
      <c r="A466" t="s">
        <v>4</v>
      </c>
      <c r="B466" s="1" t="s">
        <v>13</v>
      </c>
      <c r="C466" t="s">
        <v>12</v>
      </c>
      <c r="D466" t="s">
        <v>9</v>
      </c>
      <c r="E466" t="s">
        <v>17</v>
      </c>
    </row>
    <row r="467" spans="1:5" x14ac:dyDescent="0.3">
      <c r="A467" t="s">
        <v>4</v>
      </c>
      <c r="B467" s="1" t="s">
        <v>13</v>
      </c>
      <c r="C467" t="s">
        <v>10</v>
      </c>
      <c r="D467" t="s">
        <v>5</v>
      </c>
      <c r="E467" t="s">
        <v>17</v>
      </c>
    </row>
    <row r="468" spans="1:5" x14ac:dyDescent="0.3">
      <c r="A468" t="s">
        <v>4</v>
      </c>
      <c r="B468" s="1" t="s">
        <v>13</v>
      </c>
      <c r="C468" t="s">
        <v>12</v>
      </c>
      <c r="D468" t="s">
        <v>6</v>
      </c>
      <c r="E468" t="s">
        <v>17</v>
      </c>
    </row>
    <row r="469" spans="1:5" x14ac:dyDescent="0.3">
      <c r="A469" t="s">
        <v>4</v>
      </c>
      <c r="B469" s="1" t="s">
        <v>13</v>
      </c>
      <c r="C469" t="s">
        <v>12</v>
      </c>
      <c r="D469" t="s">
        <v>7</v>
      </c>
      <c r="E469" t="s">
        <v>17</v>
      </c>
    </row>
    <row r="470" spans="1:5" x14ac:dyDescent="0.3">
      <c r="A470" t="s">
        <v>4</v>
      </c>
      <c r="B470" s="1" t="s">
        <v>13</v>
      </c>
      <c r="C470" t="s">
        <v>12</v>
      </c>
      <c r="D470" t="s">
        <v>8</v>
      </c>
      <c r="E470" t="s">
        <v>17</v>
      </c>
    </row>
    <row r="471" spans="1:5" x14ac:dyDescent="0.3">
      <c r="A471" t="s">
        <v>4</v>
      </c>
      <c r="B471" s="1" t="s">
        <v>13</v>
      </c>
      <c r="C471" t="s">
        <v>12</v>
      </c>
      <c r="D471" t="s">
        <v>9</v>
      </c>
      <c r="E471" t="s">
        <v>17</v>
      </c>
    </row>
    <row r="472" spans="1:5" x14ac:dyDescent="0.3">
      <c r="A472" t="s">
        <v>4</v>
      </c>
      <c r="B472" s="1" t="s">
        <v>13</v>
      </c>
      <c r="C472" t="s">
        <v>10</v>
      </c>
      <c r="D472" t="s">
        <v>5</v>
      </c>
      <c r="E472" t="s">
        <v>17</v>
      </c>
    </row>
    <row r="473" spans="1:5" x14ac:dyDescent="0.3">
      <c r="A473" t="s">
        <v>4</v>
      </c>
      <c r="B473" s="1" t="s">
        <v>13</v>
      </c>
      <c r="C473" t="s">
        <v>12</v>
      </c>
      <c r="D473" t="s">
        <v>6</v>
      </c>
      <c r="E473" t="s">
        <v>17</v>
      </c>
    </row>
    <row r="474" spans="1:5" x14ac:dyDescent="0.3">
      <c r="A474" t="s">
        <v>4</v>
      </c>
      <c r="B474" s="1" t="s">
        <v>13</v>
      </c>
      <c r="C474" t="s">
        <v>12</v>
      </c>
      <c r="D474" t="s">
        <v>7</v>
      </c>
      <c r="E474" t="s">
        <v>17</v>
      </c>
    </row>
    <row r="475" spans="1:5" x14ac:dyDescent="0.3">
      <c r="A475" t="s">
        <v>4</v>
      </c>
      <c r="B475" s="1" t="s">
        <v>13</v>
      </c>
      <c r="C475" t="s">
        <v>12</v>
      </c>
      <c r="D475" t="s">
        <v>8</v>
      </c>
      <c r="E475" t="s">
        <v>17</v>
      </c>
    </row>
    <row r="476" spans="1:5" x14ac:dyDescent="0.3">
      <c r="A476" t="s">
        <v>4</v>
      </c>
      <c r="B476" s="1" t="s">
        <v>13</v>
      </c>
      <c r="C476" t="s">
        <v>12</v>
      </c>
      <c r="D476" t="s">
        <v>9</v>
      </c>
      <c r="E476" t="s">
        <v>17</v>
      </c>
    </row>
    <row r="477" spans="1:5" x14ac:dyDescent="0.3">
      <c r="A477" t="s">
        <v>4</v>
      </c>
      <c r="B477" s="1" t="s">
        <v>13</v>
      </c>
      <c r="C477" t="s">
        <v>10</v>
      </c>
      <c r="D477" t="s">
        <v>5</v>
      </c>
      <c r="E477" t="s">
        <v>17</v>
      </c>
    </row>
    <row r="478" spans="1:5" x14ac:dyDescent="0.3">
      <c r="A478" t="s">
        <v>4</v>
      </c>
      <c r="B478" s="1" t="s">
        <v>13</v>
      </c>
      <c r="C478" t="s">
        <v>12</v>
      </c>
      <c r="D478" t="s">
        <v>6</v>
      </c>
      <c r="E478" t="s">
        <v>17</v>
      </c>
    </row>
    <row r="479" spans="1:5" x14ac:dyDescent="0.3">
      <c r="A479" t="s">
        <v>4</v>
      </c>
      <c r="B479" s="1" t="s">
        <v>13</v>
      </c>
      <c r="C479" t="s">
        <v>12</v>
      </c>
      <c r="D479" t="s">
        <v>7</v>
      </c>
      <c r="E479" t="s">
        <v>17</v>
      </c>
    </row>
    <row r="480" spans="1:5" x14ac:dyDescent="0.3">
      <c r="A480" t="s">
        <v>4</v>
      </c>
      <c r="B480" s="1" t="s">
        <v>13</v>
      </c>
      <c r="C480" t="s">
        <v>12</v>
      </c>
      <c r="D480" t="s">
        <v>8</v>
      </c>
      <c r="E480" t="s">
        <v>17</v>
      </c>
    </row>
    <row r="481" spans="1:5" x14ac:dyDescent="0.3">
      <c r="A481" t="s">
        <v>4</v>
      </c>
      <c r="B481" s="1" t="s">
        <v>13</v>
      </c>
      <c r="C481" t="s">
        <v>12</v>
      </c>
      <c r="D481" t="s">
        <v>9</v>
      </c>
      <c r="E481" t="s">
        <v>17</v>
      </c>
    </row>
    <row r="482" spans="1:5" x14ac:dyDescent="0.3">
      <c r="A482" t="s">
        <v>4</v>
      </c>
      <c r="B482" s="1" t="s">
        <v>13</v>
      </c>
      <c r="C482" t="s">
        <v>10</v>
      </c>
      <c r="D482" t="s">
        <v>5</v>
      </c>
      <c r="E482" t="s">
        <v>17</v>
      </c>
    </row>
    <row r="483" spans="1:5" x14ac:dyDescent="0.3">
      <c r="A483" t="s">
        <v>4</v>
      </c>
      <c r="B483" s="1" t="s">
        <v>13</v>
      </c>
      <c r="C483" t="s">
        <v>12</v>
      </c>
      <c r="D483" t="s">
        <v>6</v>
      </c>
      <c r="E483" t="s">
        <v>17</v>
      </c>
    </row>
    <row r="484" spans="1:5" x14ac:dyDescent="0.3">
      <c r="A484" t="s">
        <v>4</v>
      </c>
      <c r="B484" s="1" t="s">
        <v>13</v>
      </c>
      <c r="C484" t="s">
        <v>12</v>
      </c>
      <c r="D484" t="s">
        <v>7</v>
      </c>
      <c r="E484" t="s">
        <v>17</v>
      </c>
    </row>
    <row r="485" spans="1:5" x14ac:dyDescent="0.3">
      <c r="A485" t="s">
        <v>4</v>
      </c>
      <c r="B485" s="1" t="s">
        <v>13</v>
      </c>
      <c r="C485" t="s">
        <v>12</v>
      </c>
      <c r="D485" t="s">
        <v>8</v>
      </c>
      <c r="E485" t="s">
        <v>17</v>
      </c>
    </row>
    <row r="486" spans="1:5" x14ac:dyDescent="0.3">
      <c r="A486" t="s">
        <v>4</v>
      </c>
      <c r="B486" s="1" t="s">
        <v>13</v>
      </c>
      <c r="C486" t="s">
        <v>12</v>
      </c>
      <c r="D486" t="s">
        <v>9</v>
      </c>
      <c r="E486" t="s">
        <v>17</v>
      </c>
    </row>
    <row r="487" spans="1:5" x14ac:dyDescent="0.3">
      <c r="A487" t="s">
        <v>4</v>
      </c>
      <c r="B487" s="1" t="s">
        <v>13</v>
      </c>
      <c r="C487" t="s">
        <v>10</v>
      </c>
      <c r="D487" t="s">
        <v>5</v>
      </c>
      <c r="E487" t="s">
        <v>17</v>
      </c>
    </row>
    <row r="488" spans="1:5" x14ac:dyDescent="0.3">
      <c r="A488" t="s">
        <v>4</v>
      </c>
      <c r="B488" s="1" t="s">
        <v>13</v>
      </c>
      <c r="C488" t="s">
        <v>12</v>
      </c>
      <c r="D488" t="s">
        <v>6</v>
      </c>
      <c r="E488" t="s">
        <v>17</v>
      </c>
    </row>
    <row r="489" spans="1:5" x14ac:dyDescent="0.3">
      <c r="A489" t="s">
        <v>4</v>
      </c>
      <c r="B489" s="1" t="s">
        <v>13</v>
      </c>
      <c r="C489" t="s">
        <v>12</v>
      </c>
      <c r="D489" t="s">
        <v>7</v>
      </c>
      <c r="E489" t="s">
        <v>17</v>
      </c>
    </row>
    <row r="490" spans="1:5" x14ac:dyDescent="0.3">
      <c r="A490" t="s">
        <v>4</v>
      </c>
      <c r="B490" s="1" t="s">
        <v>13</v>
      </c>
      <c r="C490" t="s">
        <v>12</v>
      </c>
      <c r="D490" t="s">
        <v>8</v>
      </c>
      <c r="E490" t="s">
        <v>17</v>
      </c>
    </row>
    <row r="491" spans="1:5" x14ac:dyDescent="0.3">
      <c r="A491" t="s">
        <v>4</v>
      </c>
      <c r="B491" s="1" t="s">
        <v>13</v>
      </c>
      <c r="C491" t="s">
        <v>12</v>
      </c>
      <c r="D491" t="s">
        <v>9</v>
      </c>
      <c r="E491" t="s">
        <v>17</v>
      </c>
    </row>
    <row r="492" spans="1:5" x14ac:dyDescent="0.3">
      <c r="A492" t="s">
        <v>4</v>
      </c>
      <c r="B492" s="1" t="s">
        <v>13</v>
      </c>
      <c r="C492" t="s">
        <v>10</v>
      </c>
      <c r="D492" t="s">
        <v>5</v>
      </c>
      <c r="E492" t="s">
        <v>17</v>
      </c>
    </row>
    <row r="493" spans="1:5" x14ac:dyDescent="0.3">
      <c r="A493" t="s">
        <v>4</v>
      </c>
      <c r="B493" s="1" t="s">
        <v>13</v>
      </c>
      <c r="C493" t="s">
        <v>12</v>
      </c>
      <c r="D493" t="s">
        <v>6</v>
      </c>
      <c r="E493" t="s">
        <v>17</v>
      </c>
    </row>
    <row r="494" spans="1:5" x14ac:dyDescent="0.3">
      <c r="A494" t="s">
        <v>4</v>
      </c>
      <c r="B494" s="1" t="s">
        <v>13</v>
      </c>
      <c r="C494" t="s">
        <v>12</v>
      </c>
      <c r="D494" t="s">
        <v>7</v>
      </c>
      <c r="E494" t="s">
        <v>17</v>
      </c>
    </row>
    <row r="495" spans="1:5" x14ac:dyDescent="0.3">
      <c r="A495" t="s">
        <v>4</v>
      </c>
      <c r="B495" s="1" t="s">
        <v>13</v>
      </c>
      <c r="C495" t="s">
        <v>12</v>
      </c>
      <c r="D495" t="s">
        <v>8</v>
      </c>
      <c r="E495" t="s">
        <v>17</v>
      </c>
    </row>
    <row r="496" spans="1:5" x14ac:dyDescent="0.3">
      <c r="A496" t="s">
        <v>4</v>
      </c>
      <c r="B496" s="1" t="s">
        <v>13</v>
      </c>
      <c r="C496" t="s">
        <v>12</v>
      </c>
      <c r="D496" t="s">
        <v>9</v>
      </c>
      <c r="E496" t="s">
        <v>17</v>
      </c>
    </row>
    <row r="497" spans="1:5" x14ac:dyDescent="0.3">
      <c r="A497" t="s">
        <v>4</v>
      </c>
      <c r="B497" s="1" t="s">
        <v>13</v>
      </c>
      <c r="C497" t="s">
        <v>10</v>
      </c>
      <c r="D497" t="s">
        <v>5</v>
      </c>
      <c r="E497" t="s">
        <v>17</v>
      </c>
    </row>
    <row r="498" spans="1:5" x14ac:dyDescent="0.3">
      <c r="A498" t="s">
        <v>4</v>
      </c>
      <c r="B498" s="1" t="s">
        <v>13</v>
      </c>
      <c r="C498" t="s">
        <v>12</v>
      </c>
      <c r="D498" t="s">
        <v>6</v>
      </c>
      <c r="E498" t="s">
        <v>17</v>
      </c>
    </row>
    <row r="499" spans="1:5" x14ac:dyDescent="0.3">
      <c r="A499" t="s">
        <v>4</v>
      </c>
      <c r="B499" s="1" t="s">
        <v>13</v>
      </c>
      <c r="C499" t="s">
        <v>12</v>
      </c>
      <c r="D499" t="s">
        <v>7</v>
      </c>
      <c r="E499" t="s">
        <v>17</v>
      </c>
    </row>
    <row r="500" spans="1:5" x14ac:dyDescent="0.3">
      <c r="A500" t="s">
        <v>4</v>
      </c>
      <c r="B500" s="1" t="s">
        <v>13</v>
      </c>
      <c r="C500" t="s">
        <v>12</v>
      </c>
      <c r="D500" t="s">
        <v>8</v>
      </c>
      <c r="E500" t="s">
        <v>17</v>
      </c>
    </row>
    <row r="501" spans="1:5" x14ac:dyDescent="0.3">
      <c r="A501" t="s">
        <v>4</v>
      </c>
      <c r="B501" s="1" t="s">
        <v>13</v>
      </c>
      <c r="C501" t="s">
        <v>12</v>
      </c>
      <c r="D501" t="s">
        <v>9</v>
      </c>
      <c r="E501" t="s">
        <v>17</v>
      </c>
    </row>
    <row r="502" spans="1:5" x14ac:dyDescent="0.3">
      <c r="A502" t="s">
        <v>4</v>
      </c>
      <c r="B502" s="1" t="s">
        <v>13</v>
      </c>
      <c r="C502" t="s">
        <v>10</v>
      </c>
      <c r="D502" t="s">
        <v>5</v>
      </c>
      <c r="E502" t="s">
        <v>17</v>
      </c>
    </row>
    <row r="503" spans="1:5" x14ac:dyDescent="0.3">
      <c r="A503" t="s">
        <v>4</v>
      </c>
      <c r="B503" s="1" t="s">
        <v>13</v>
      </c>
      <c r="C503" t="s">
        <v>12</v>
      </c>
      <c r="D503" t="s">
        <v>6</v>
      </c>
      <c r="E503" t="s">
        <v>17</v>
      </c>
    </row>
    <row r="504" spans="1:5" x14ac:dyDescent="0.3">
      <c r="A504" t="s">
        <v>4</v>
      </c>
      <c r="B504" s="1" t="s">
        <v>13</v>
      </c>
      <c r="C504" t="s">
        <v>12</v>
      </c>
      <c r="D504" t="s">
        <v>7</v>
      </c>
      <c r="E504" t="s">
        <v>17</v>
      </c>
    </row>
    <row r="505" spans="1:5" x14ac:dyDescent="0.3">
      <c r="A505" t="s">
        <v>4</v>
      </c>
      <c r="B505" s="1" t="s">
        <v>13</v>
      </c>
      <c r="C505" t="s">
        <v>12</v>
      </c>
      <c r="D505" t="s">
        <v>8</v>
      </c>
      <c r="E505" t="s">
        <v>17</v>
      </c>
    </row>
    <row r="506" spans="1:5" x14ac:dyDescent="0.3">
      <c r="A506" t="s">
        <v>4</v>
      </c>
      <c r="B506" s="1" t="s">
        <v>13</v>
      </c>
      <c r="C506" t="s">
        <v>12</v>
      </c>
      <c r="D506" t="s">
        <v>9</v>
      </c>
      <c r="E506" t="s">
        <v>17</v>
      </c>
    </row>
    <row r="507" spans="1:5" x14ac:dyDescent="0.3">
      <c r="A507" t="s">
        <v>4</v>
      </c>
      <c r="B507" s="1" t="s">
        <v>13</v>
      </c>
      <c r="C507" t="s">
        <v>10</v>
      </c>
      <c r="D507" t="s">
        <v>5</v>
      </c>
      <c r="E507" t="s">
        <v>17</v>
      </c>
    </row>
    <row r="508" spans="1:5" x14ac:dyDescent="0.3">
      <c r="A508" t="s">
        <v>4</v>
      </c>
      <c r="B508" s="1" t="s">
        <v>13</v>
      </c>
      <c r="C508" t="s">
        <v>12</v>
      </c>
      <c r="D508" t="s">
        <v>6</v>
      </c>
      <c r="E508" t="s">
        <v>17</v>
      </c>
    </row>
    <row r="509" spans="1:5" x14ac:dyDescent="0.3">
      <c r="A509" t="s">
        <v>4</v>
      </c>
      <c r="B509" s="1" t="s">
        <v>13</v>
      </c>
      <c r="C509" t="s">
        <v>12</v>
      </c>
      <c r="D509" t="s">
        <v>7</v>
      </c>
      <c r="E509" t="s">
        <v>17</v>
      </c>
    </row>
    <row r="510" spans="1:5" x14ac:dyDescent="0.3">
      <c r="A510" t="s">
        <v>4</v>
      </c>
      <c r="B510" s="1" t="s">
        <v>13</v>
      </c>
      <c r="C510" t="s">
        <v>12</v>
      </c>
      <c r="D510" t="s">
        <v>8</v>
      </c>
      <c r="E510" t="s">
        <v>17</v>
      </c>
    </row>
    <row r="511" spans="1:5" x14ac:dyDescent="0.3">
      <c r="A511" t="s">
        <v>4</v>
      </c>
      <c r="B511" s="1" t="s">
        <v>13</v>
      </c>
      <c r="C511" t="s">
        <v>12</v>
      </c>
      <c r="D511" t="s">
        <v>9</v>
      </c>
      <c r="E511" t="s">
        <v>17</v>
      </c>
    </row>
    <row r="512" spans="1:5" x14ac:dyDescent="0.3">
      <c r="A512" t="s">
        <v>4</v>
      </c>
      <c r="B512" s="1" t="s">
        <v>13</v>
      </c>
      <c r="C512" t="s">
        <v>10</v>
      </c>
      <c r="D512" t="s">
        <v>5</v>
      </c>
      <c r="E512" t="s">
        <v>17</v>
      </c>
    </row>
    <row r="513" spans="1:5" x14ac:dyDescent="0.3">
      <c r="A513" t="s">
        <v>4</v>
      </c>
      <c r="B513" s="1" t="s">
        <v>13</v>
      </c>
      <c r="C513" t="s">
        <v>12</v>
      </c>
      <c r="D513" t="s">
        <v>6</v>
      </c>
      <c r="E513" t="s">
        <v>17</v>
      </c>
    </row>
    <row r="514" spans="1:5" x14ac:dyDescent="0.3">
      <c r="A514" t="s">
        <v>4</v>
      </c>
      <c r="B514" s="1" t="s">
        <v>13</v>
      </c>
      <c r="C514" t="s">
        <v>12</v>
      </c>
      <c r="D514" t="s">
        <v>7</v>
      </c>
      <c r="E514" t="s">
        <v>17</v>
      </c>
    </row>
    <row r="515" spans="1:5" x14ac:dyDescent="0.3">
      <c r="A515" t="s">
        <v>4</v>
      </c>
      <c r="B515" s="1" t="s">
        <v>13</v>
      </c>
      <c r="C515" t="s">
        <v>12</v>
      </c>
      <c r="D515" t="s">
        <v>8</v>
      </c>
      <c r="E515" t="s">
        <v>17</v>
      </c>
    </row>
    <row r="516" spans="1:5" x14ac:dyDescent="0.3">
      <c r="A516" t="s">
        <v>4</v>
      </c>
      <c r="B516" s="1" t="s">
        <v>13</v>
      </c>
      <c r="C516" t="s">
        <v>12</v>
      </c>
      <c r="D516" t="s">
        <v>9</v>
      </c>
      <c r="E516" t="s">
        <v>17</v>
      </c>
    </row>
    <row r="517" spans="1:5" x14ac:dyDescent="0.3">
      <c r="A517" t="s">
        <v>4</v>
      </c>
      <c r="B517" s="1" t="s">
        <v>13</v>
      </c>
      <c r="C517" t="s">
        <v>10</v>
      </c>
      <c r="D517" t="s">
        <v>5</v>
      </c>
      <c r="E517" t="s">
        <v>17</v>
      </c>
    </row>
    <row r="518" spans="1:5" x14ac:dyDescent="0.3">
      <c r="A518" t="s">
        <v>4</v>
      </c>
      <c r="B518" s="1" t="s">
        <v>13</v>
      </c>
      <c r="C518" t="s">
        <v>12</v>
      </c>
      <c r="D518" t="s">
        <v>6</v>
      </c>
      <c r="E518" t="s">
        <v>17</v>
      </c>
    </row>
    <row r="519" spans="1:5" x14ac:dyDescent="0.3">
      <c r="A519" t="s">
        <v>4</v>
      </c>
      <c r="B519" s="1" t="s">
        <v>13</v>
      </c>
      <c r="C519" t="s">
        <v>12</v>
      </c>
      <c r="D519" t="s">
        <v>7</v>
      </c>
      <c r="E519" t="s">
        <v>17</v>
      </c>
    </row>
    <row r="520" spans="1:5" x14ac:dyDescent="0.3">
      <c r="A520" t="s">
        <v>4</v>
      </c>
      <c r="B520" s="1" t="s">
        <v>13</v>
      </c>
      <c r="C520" t="s">
        <v>12</v>
      </c>
      <c r="D520" t="s">
        <v>8</v>
      </c>
      <c r="E520" t="s">
        <v>17</v>
      </c>
    </row>
    <row r="521" spans="1:5" x14ac:dyDescent="0.3">
      <c r="A521" t="s">
        <v>4</v>
      </c>
      <c r="B521" s="1" t="s">
        <v>13</v>
      </c>
      <c r="C521" t="s">
        <v>12</v>
      </c>
      <c r="D521" t="s">
        <v>9</v>
      </c>
      <c r="E521" t="s">
        <v>17</v>
      </c>
    </row>
    <row r="522" spans="1:5" x14ac:dyDescent="0.3">
      <c r="A522" t="s">
        <v>4</v>
      </c>
      <c r="B522" s="1" t="s">
        <v>13</v>
      </c>
      <c r="C522" t="s">
        <v>10</v>
      </c>
      <c r="D522" t="s">
        <v>5</v>
      </c>
      <c r="E522" t="s">
        <v>17</v>
      </c>
    </row>
    <row r="523" spans="1:5" x14ac:dyDescent="0.3">
      <c r="A523" t="s">
        <v>4</v>
      </c>
      <c r="B523" s="1" t="s">
        <v>13</v>
      </c>
      <c r="C523" t="s">
        <v>12</v>
      </c>
      <c r="D523" t="s">
        <v>6</v>
      </c>
      <c r="E523" t="s">
        <v>17</v>
      </c>
    </row>
    <row r="524" spans="1:5" x14ac:dyDescent="0.3">
      <c r="A524" t="s">
        <v>4</v>
      </c>
      <c r="B524" s="1" t="s">
        <v>13</v>
      </c>
      <c r="C524" t="s">
        <v>12</v>
      </c>
      <c r="D524" t="s">
        <v>7</v>
      </c>
      <c r="E524" t="s">
        <v>17</v>
      </c>
    </row>
    <row r="525" spans="1:5" x14ac:dyDescent="0.3">
      <c r="A525" t="s">
        <v>4</v>
      </c>
      <c r="B525" s="1" t="s">
        <v>13</v>
      </c>
      <c r="C525" t="s">
        <v>12</v>
      </c>
      <c r="D525" t="s">
        <v>8</v>
      </c>
      <c r="E525" t="s">
        <v>17</v>
      </c>
    </row>
    <row r="526" spans="1:5" x14ac:dyDescent="0.3">
      <c r="A526" t="s">
        <v>4</v>
      </c>
      <c r="B526" s="1" t="s">
        <v>13</v>
      </c>
      <c r="C526" t="s">
        <v>12</v>
      </c>
      <c r="D526" t="s">
        <v>9</v>
      </c>
      <c r="E526" t="s">
        <v>17</v>
      </c>
    </row>
    <row r="527" spans="1:5" x14ac:dyDescent="0.3">
      <c r="A527" t="s">
        <v>4</v>
      </c>
      <c r="B527" s="1" t="s">
        <v>13</v>
      </c>
      <c r="C527" t="s">
        <v>10</v>
      </c>
      <c r="D527" t="s">
        <v>5</v>
      </c>
      <c r="E527" t="s">
        <v>17</v>
      </c>
    </row>
    <row r="528" spans="1:5" x14ac:dyDescent="0.3">
      <c r="A528" t="s">
        <v>4</v>
      </c>
      <c r="B528" s="1" t="s">
        <v>13</v>
      </c>
      <c r="C528" t="s">
        <v>12</v>
      </c>
      <c r="D528" t="s">
        <v>6</v>
      </c>
      <c r="E528" t="s">
        <v>17</v>
      </c>
    </row>
    <row r="529" spans="1:5" x14ac:dyDescent="0.3">
      <c r="A529" t="s">
        <v>4</v>
      </c>
      <c r="B529" s="1" t="s">
        <v>13</v>
      </c>
      <c r="C529" t="s">
        <v>12</v>
      </c>
      <c r="D529" t="s">
        <v>7</v>
      </c>
      <c r="E529" t="s">
        <v>17</v>
      </c>
    </row>
    <row r="530" spans="1:5" x14ac:dyDescent="0.3">
      <c r="A530" t="s">
        <v>4</v>
      </c>
      <c r="B530" s="1" t="s">
        <v>13</v>
      </c>
      <c r="C530" t="s">
        <v>12</v>
      </c>
      <c r="D530" t="s">
        <v>8</v>
      </c>
      <c r="E530" t="s">
        <v>17</v>
      </c>
    </row>
    <row r="531" spans="1:5" x14ac:dyDescent="0.3">
      <c r="A531" t="s">
        <v>4</v>
      </c>
      <c r="B531" s="1" t="s">
        <v>13</v>
      </c>
      <c r="C531" t="s">
        <v>12</v>
      </c>
      <c r="D531" t="s">
        <v>9</v>
      </c>
      <c r="E531" t="s">
        <v>17</v>
      </c>
    </row>
    <row r="532" spans="1:5" x14ac:dyDescent="0.3">
      <c r="A532" t="s">
        <v>4</v>
      </c>
      <c r="B532" s="1" t="s">
        <v>13</v>
      </c>
      <c r="C532" t="s">
        <v>10</v>
      </c>
      <c r="D532" t="s">
        <v>5</v>
      </c>
      <c r="E532" t="s">
        <v>17</v>
      </c>
    </row>
    <row r="533" spans="1:5" x14ac:dyDescent="0.3">
      <c r="A533" t="s">
        <v>4</v>
      </c>
      <c r="B533" s="1" t="s">
        <v>13</v>
      </c>
      <c r="C533" t="s">
        <v>12</v>
      </c>
      <c r="D533" t="s">
        <v>6</v>
      </c>
      <c r="E533" t="s">
        <v>17</v>
      </c>
    </row>
    <row r="534" spans="1:5" x14ac:dyDescent="0.3">
      <c r="A534" t="s">
        <v>4</v>
      </c>
      <c r="B534" s="1" t="s">
        <v>13</v>
      </c>
      <c r="C534" t="s">
        <v>12</v>
      </c>
      <c r="D534" t="s">
        <v>7</v>
      </c>
      <c r="E534" t="s">
        <v>17</v>
      </c>
    </row>
    <row r="535" spans="1:5" x14ac:dyDescent="0.3">
      <c r="A535" t="s">
        <v>4</v>
      </c>
      <c r="B535" s="1" t="s">
        <v>13</v>
      </c>
      <c r="C535" t="s">
        <v>12</v>
      </c>
      <c r="D535" t="s">
        <v>8</v>
      </c>
      <c r="E535" t="s">
        <v>17</v>
      </c>
    </row>
    <row r="536" spans="1:5" x14ac:dyDescent="0.3">
      <c r="A536" t="s">
        <v>4</v>
      </c>
      <c r="B536" s="1" t="s">
        <v>13</v>
      </c>
      <c r="C536" t="s">
        <v>12</v>
      </c>
      <c r="D536" t="s">
        <v>9</v>
      </c>
      <c r="E536" t="s">
        <v>17</v>
      </c>
    </row>
    <row r="537" spans="1:5" x14ac:dyDescent="0.3">
      <c r="A537" t="s">
        <v>4</v>
      </c>
      <c r="B537" s="1" t="s">
        <v>13</v>
      </c>
      <c r="C537" t="s">
        <v>10</v>
      </c>
      <c r="D537" t="s">
        <v>5</v>
      </c>
      <c r="E537" t="s">
        <v>17</v>
      </c>
    </row>
    <row r="538" spans="1:5" x14ac:dyDescent="0.3">
      <c r="A538" t="s">
        <v>4</v>
      </c>
      <c r="B538" s="1" t="s">
        <v>13</v>
      </c>
      <c r="C538" t="s">
        <v>12</v>
      </c>
      <c r="D538" t="s">
        <v>6</v>
      </c>
      <c r="E538" t="s">
        <v>17</v>
      </c>
    </row>
    <row r="539" spans="1:5" x14ac:dyDescent="0.3">
      <c r="A539" t="s">
        <v>4</v>
      </c>
      <c r="B539" s="1" t="s">
        <v>13</v>
      </c>
      <c r="C539" t="s">
        <v>12</v>
      </c>
      <c r="D539" t="s">
        <v>7</v>
      </c>
      <c r="E539" t="s">
        <v>17</v>
      </c>
    </row>
    <row r="540" spans="1:5" x14ac:dyDescent="0.3">
      <c r="A540" t="s">
        <v>4</v>
      </c>
      <c r="B540" s="1" t="s">
        <v>13</v>
      </c>
      <c r="C540" t="s">
        <v>12</v>
      </c>
      <c r="D540" t="s">
        <v>8</v>
      </c>
      <c r="E540" t="s">
        <v>17</v>
      </c>
    </row>
    <row r="541" spans="1:5" x14ac:dyDescent="0.3">
      <c r="A541" t="s">
        <v>4</v>
      </c>
      <c r="B541" s="1" t="s">
        <v>13</v>
      </c>
      <c r="C541" t="s">
        <v>12</v>
      </c>
      <c r="D541" t="s">
        <v>9</v>
      </c>
      <c r="E541" t="s">
        <v>17</v>
      </c>
    </row>
    <row r="542" spans="1:5" x14ac:dyDescent="0.3">
      <c r="A542" t="s">
        <v>4</v>
      </c>
      <c r="B542" s="1" t="s">
        <v>13</v>
      </c>
      <c r="C542" t="s">
        <v>10</v>
      </c>
      <c r="D542" t="s">
        <v>5</v>
      </c>
      <c r="E542" t="s">
        <v>17</v>
      </c>
    </row>
    <row r="543" spans="1:5" x14ac:dyDescent="0.3">
      <c r="A543" t="s">
        <v>4</v>
      </c>
      <c r="B543" s="1" t="s">
        <v>13</v>
      </c>
      <c r="C543" t="s">
        <v>12</v>
      </c>
      <c r="D543" t="s">
        <v>6</v>
      </c>
      <c r="E543" t="s">
        <v>17</v>
      </c>
    </row>
    <row r="544" spans="1:5" x14ac:dyDescent="0.3">
      <c r="A544" t="s">
        <v>4</v>
      </c>
      <c r="B544" s="1" t="s">
        <v>13</v>
      </c>
      <c r="C544" t="s">
        <v>12</v>
      </c>
      <c r="D544" t="s">
        <v>7</v>
      </c>
      <c r="E544" t="s">
        <v>17</v>
      </c>
    </row>
    <row r="545" spans="1:5" x14ac:dyDescent="0.3">
      <c r="A545" t="s">
        <v>4</v>
      </c>
      <c r="B545" s="1" t="s">
        <v>13</v>
      </c>
      <c r="C545" t="s">
        <v>12</v>
      </c>
      <c r="D545" t="s">
        <v>8</v>
      </c>
      <c r="E545" t="s">
        <v>17</v>
      </c>
    </row>
    <row r="546" spans="1:5" x14ac:dyDescent="0.3">
      <c r="A546" t="s">
        <v>4</v>
      </c>
      <c r="B546" s="1" t="s">
        <v>13</v>
      </c>
      <c r="C546" t="s">
        <v>12</v>
      </c>
      <c r="D546" t="s">
        <v>9</v>
      </c>
      <c r="E546" t="s">
        <v>17</v>
      </c>
    </row>
    <row r="547" spans="1:5" x14ac:dyDescent="0.3">
      <c r="A547" t="s">
        <v>4</v>
      </c>
      <c r="B547" s="1" t="s">
        <v>13</v>
      </c>
      <c r="C547" t="s">
        <v>12</v>
      </c>
      <c r="D547" t="s">
        <v>5</v>
      </c>
      <c r="E547" t="s">
        <v>18</v>
      </c>
    </row>
    <row r="548" spans="1:5" x14ac:dyDescent="0.3">
      <c r="A548" t="s">
        <v>4</v>
      </c>
      <c r="B548" s="1" t="s">
        <v>13</v>
      </c>
      <c r="C548" t="s">
        <v>11</v>
      </c>
      <c r="D548" t="s">
        <v>6</v>
      </c>
      <c r="E548" t="s">
        <v>18</v>
      </c>
    </row>
    <row r="549" spans="1:5" x14ac:dyDescent="0.3">
      <c r="A549" t="s">
        <v>4</v>
      </c>
      <c r="B549" s="1" t="s">
        <v>13</v>
      </c>
      <c r="C549" t="s">
        <v>12</v>
      </c>
      <c r="D549" t="s">
        <v>7</v>
      </c>
      <c r="E549" t="s">
        <v>18</v>
      </c>
    </row>
    <row r="550" spans="1:5" x14ac:dyDescent="0.3">
      <c r="A550" t="s">
        <v>4</v>
      </c>
      <c r="B550" s="1" t="s">
        <v>13</v>
      </c>
      <c r="C550" t="s">
        <v>12</v>
      </c>
      <c r="D550" t="s">
        <v>8</v>
      </c>
      <c r="E550" t="s">
        <v>18</v>
      </c>
    </row>
    <row r="551" spans="1:5" x14ac:dyDescent="0.3">
      <c r="A551" t="s">
        <v>4</v>
      </c>
      <c r="B551" s="1" t="s">
        <v>13</v>
      </c>
      <c r="C551" t="s">
        <v>12</v>
      </c>
      <c r="D551" t="s">
        <v>9</v>
      </c>
      <c r="E551" t="s">
        <v>18</v>
      </c>
    </row>
    <row r="552" spans="1:5" x14ac:dyDescent="0.3">
      <c r="A552" t="s">
        <v>4</v>
      </c>
      <c r="B552" s="1" t="s">
        <v>13</v>
      </c>
      <c r="C552" t="s">
        <v>12</v>
      </c>
      <c r="D552" t="s">
        <v>5</v>
      </c>
      <c r="E552" t="s">
        <v>18</v>
      </c>
    </row>
    <row r="553" spans="1:5" x14ac:dyDescent="0.3">
      <c r="A553" t="s">
        <v>4</v>
      </c>
      <c r="B553" s="1" t="s">
        <v>13</v>
      </c>
      <c r="C553" t="s">
        <v>11</v>
      </c>
      <c r="D553" t="s">
        <v>6</v>
      </c>
      <c r="E553" t="s">
        <v>18</v>
      </c>
    </row>
    <row r="554" spans="1:5" x14ac:dyDescent="0.3">
      <c r="A554" t="s">
        <v>4</v>
      </c>
      <c r="B554" s="1" t="s">
        <v>13</v>
      </c>
      <c r="C554" t="s">
        <v>11</v>
      </c>
      <c r="D554" t="s">
        <v>7</v>
      </c>
      <c r="E554" t="s">
        <v>18</v>
      </c>
    </row>
    <row r="555" spans="1:5" x14ac:dyDescent="0.3">
      <c r="A555" t="s">
        <v>4</v>
      </c>
      <c r="B555" s="1" t="s">
        <v>13</v>
      </c>
      <c r="C555" t="s">
        <v>11</v>
      </c>
      <c r="D555" t="s">
        <v>8</v>
      </c>
      <c r="E555" t="s">
        <v>18</v>
      </c>
    </row>
    <row r="556" spans="1:5" x14ac:dyDescent="0.3">
      <c r="A556" t="s">
        <v>4</v>
      </c>
      <c r="B556" s="1" t="s">
        <v>13</v>
      </c>
      <c r="C556" t="s">
        <v>11</v>
      </c>
      <c r="D556" t="s">
        <v>9</v>
      </c>
      <c r="E556" t="s">
        <v>18</v>
      </c>
    </row>
    <row r="557" spans="1:5" x14ac:dyDescent="0.3">
      <c r="A557" t="s">
        <v>4</v>
      </c>
      <c r="B557" s="1" t="s">
        <v>13</v>
      </c>
      <c r="C557" t="s">
        <v>12</v>
      </c>
      <c r="D557" t="s">
        <v>5</v>
      </c>
      <c r="E557" t="s">
        <v>18</v>
      </c>
    </row>
    <row r="558" spans="1:5" x14ac:dyDescent="0.3">
      <c r="A558" t="s">
        <v>4</v>
      </c>
      <c r="B558" s="1" t="s">
        <v>13</v>
      </c>
      <c r="C558" t="s">
        <v>11</v>
      </c>
      <c r="D558" t="s">
        <v>6</v>
      </c>
      <c r="E558" t="s">
        <v>18</v>
      </c>
    </row>
    <row r="559" spans="1:5" x14ac:dyDescent="0.3">
      <c r="A559" t="s">
        <v>4</v>
      </c>
      <c r="B559" s="1" t="s">
        <v>13</v>
      </c>
      <c r="C559" t="s">
        <v>11</v>
      </c>
      <c r="D559" t="s">
        <v>7</v>
      </c>
      <c r="E559" t="s">
        <v>18</v>
      </c>
    </row>
    <row r="560" spans="1:5" x14ac:dyDescent="0.3">
      <c r="A560" t="s">
        <v>4</v>
      </c>
      <c r="B560" s="1" t="s">
        <v>13</v>
      </c>
      <c r="C560" t="s">
        <v>11</v>
      </c>
      <c r="D560" t="s">
        <v>8</v>
      </c>
      <c r="E560" t="s">
        <v>18</v>
      </c>
    </row>
    <row r="561" spans="1:5" x14ac:dyDescent="0.3">
      <c r="A561" t="s">
        <v>4</v>
      </c>
      <c r="B561" s="1" t="s">
        <v>13</v>
      </c>
      <c r="C561" t="s">
        <v>11</v>
      </c>
      <c r="D561" t="s">
        <v>9</v>
      </c>
      <c r="E561" t="s">
        <v>18</v>
      </c>
    </row>
    <row r="562" spans="1:5" x14ac:dyDescent="0.3">
      <c r="A562" t="s">
        <v>4</v>
      </c>
      <c r="B562" s="1" t="s">
        <v>13</v>
      </c>
      <c r="C562" t="s">
        <v>12</v>
      </c>
      <c r="D562" t="s">
        <v>5</v>
      </c>
      <c r="E562" t="s">
        <v>18</v>
      </c>
    </row>
    <row r="563" spans="1:5" x14ac:dyDescent="0.3">
      <c r="A563" t="s">
        <v>4</v>
      </c>
      <c r="B563" s="1" t="s">
        <v>13</v>
      </c>
      <c r="C563" t="s">
        <v>11</v>
      </c>
      <c r="D563" t="s">
        <v>6</v>
      </c>
      <c r="E563" t="s">
        <v>18</v>
      </c>
    </row>
    <row r="564" spans="1:5" x14ac:dyDescent="0.3">
      <c r="A564" t="s">
        <v>4</v>
      </c>
      <c r="B564" s="1" t="s">
        <v>13</v>
      </c>
      <c r="C564" t="s">
        <v>11</v>
      </c>
      <c r="D564" t="s">
        <v>7</v>
      </c>
      <c r="E564" t="s">
        <v>18</v>
      </c>
    </row>
    <row r="565" spans="1:5" x14ac:dyDescent="0.3">
      <c r="A565" t="s">
        <v>4</v>
      </c>
      <c r="B565" s="1" t="s">
        <v>13</v>
      </c>
      <c r="C565" t="s">
        <v>10</v>
      </c>
      <c r="D565" t="s">
        <v>8</v>
      </c>
      <c r="E565" t="s">
        <v>18</v>
      </c>
    </row>
    <row r="566" spans="1:5" x14ac:dyDescent="0.3">
      <c r="A566" t="s">
        <v>4</v>
      </c>
      <c r="B566" s="1" t="s">
        <v>13</v>
      </c>
      <c r="C566" t="s">
        <v>11</v>
      </c>
      <c r="D566" t="s">
        <v>9</v>
      </c>
      <c r="E566" t="s">
        <v>18</v>
      </c>
    </row>
    <row r="567" spans="1:5" x14ac:dyDescent="0.3">
      <c r="A567" t="s">
        <v>4</v>
      </c>
      <c r="B567" s="1" t="s">
        <v>13</v>
      </c>
      <c r="C567" t="s">
        <v>12</v>
      </c>
      <c r="D567" t="s">
        <v>5</v>
      </c>
      <c r="E567" t="s">
        <v>18</v>
      </c>
    </row>
    <row r="568" spans="1:5" x14ac:dyDescent="0.3">
      <c r="A568" t="s">
        <v>4</v>
      </c>
      <c r="B568" s="1" t="s">
        <v>13</v>
      </c>
      <c r="C568" t="s">
        <v>11</v>
      </c>
      <c r="D568" t="s">
        <v>6</v>
      </c>
      <c r="E568" t="s">
        <v>18</v>
      </c>
    </row>
    <row r="569" spans="1:5" x14ac:dyDescent="0.3">
      <c r="A569" t="s">
        <v>4</v>
      </c>
      <c r="B569" s="1" t="s">
        <v>13</v>
      </c>
      <c r="C569" t="s">
        <v>11</v>
      </c>
      <c r="D569" t="s">
        <v>7</v>
      </c>
      <c r="E569" t="s">
        <v>18</v>
      </c>
    </row>
    <row r="570" spans="1:5" x14ac:dyDescent="0.3">
      <c r="A570" t="s">
        <v>4</v>
      </c>
      <c r="B570" s="1" t="s">
        <v>13</v>
      </c>
      <c r="C570" t="s">
        <v>11</v>
      </c>
      <c r="D570" t="s">
        <v>8</v>
      </c>
      <c r="E570" t="s">
        <v>18</v>
      </c>
    </row>
    <row r="571" spans="1:5" x14ac:dyDescent="0.3">
      <c r="A571" t="s">
        <v>4</v>
      </c>
      <c r="B571" s="1" t="s">
        <v>13</v>
      </c>
      <c r="C571" t="s">
        <v>11</v>
      </c>
      <c r="D571" t="s">
        <v>9</v>
      </c>
      <c r="E571" t="s">
        <v>18</v>
      </c>
    </row>
    <row r="572" spans="1:5" x14ac:dyDescent="0.3">
      <c r="A572" t="s">
        <v>4</v>
      </c>
      <c r="B572" s="1" t="s">
        <v>13</v>
      </c>
      <c r="C572" t="s">
        <v>12</v>
      </c>
      <c r="D572" t="s">
        <v>5</v>
      </c>
      <c r="E572" t="s">
        <v>18</v>
      </c>
    </row>
    <row r="573" spans="1:5" x14ac:dyDescent="0.3">
      <c r="A573" t="s">
        <v>4</v>
      </c>
      <c r="B573" s="1" t="s">
        <v>13</v>
      </c>
      <c r="C573" t="s">
        <v>11</v>
      </c>
      <c r="D573" t="s">
        <v>6</v>
      </c>
      <c r="E573" t="s">
        <v>18</v>
      </c>
    </row>
    <row r="574" spans="1:5" x14ac:dyDescent="0.3">
      <c r="A574" t="s">
        <v>4</v>
      </c>
      <c r="B574" s="1" t="s">
        <v>13</v>
      </c>
      <c r="C574" t="s">
        <v>12</v>
      </c>
      <c r="D574" t="s">
        <v>7</v>
      </c>
      <c r="E574" t="s">
        <v>18</v>
      </c>
    </row>
    <row r="575" spans="1:5" x14ac:dyDescent="0.3">
      <c r="A575" t="s">
        <v>4</v>
      </c>
      <c r="B575" s="1" t="s">
        <v>13</v>
      </c>
      <c r="C575" t="s">
        <v>12</v>
      </c>
      <c r="D575" t="s">
        <v>8</v>
      </c>
      <c r="E575" t="s">
        <v>18</v>
      </c>
    </row>
    <row r="576" spans="1:5" x14ac:dyDescent="0.3">
      <c r="A576" t="s">
        <v>4</v>
      </c>
      <c r="B576" s="1" t="s">
        <v>13</v>
      </c>
      <c r="C576" t="s">
        <v>12</v>
      </c>
      <c r="D576" t="s">
        <v>9</v>
      </c>
      <c r="E576" t="s">
        <v>18</v>
      </c>
    </row>
    <row r="577" spans="1:5" x14ac:dyDescent="0.3">
      <c r="A577" t="s">
        <v>4</v>
      </c>
      <c r="B577" s="1" t="s">
        <v>13</v>
      </c>
      <c r="C577" t="s">
        <v>12</v>
      </c>
      <c r="D577" t="s">
        <v>5</v>
      </c>
      <c r="E577" t="s">
        <v>18</v>
      </c>
    </row>
    <row r="578" spans="1:5" x14ac:dyDescent="0.3">
      <c r="A578" t="s">
        <v>4</v>
      </c>
      <c r="B578" s="1" t="s">
        <v>13</v>
      </c>
      <c r="C578" t="s">
        <v>11</v>
      </c>
      <c r="D578" t="s">
        <v>6</v>
      </c>
      <c r="E578" t="s">
        <v>18</v>
      </c>
    </row>
    <row r="579" spans="1:5" x14ac:dyDescent="0.3">
      <c r="A579" t="s">
        <v>4</v>
      </c>
      <c r="B579" s="1" t="s">
        <v>13</v>
      </c>
      <c r="C579" t="s">
        <v>11</v>
      </c>
      <c r="D579" t="s">
        <v>7</v>
      </c>
      <c r="E579" t="s">
        <v>18</v>
      </c>
    </row>
    <row r="580" spans="1:5" x14ac:dyDescent="0.3">
      <c r="A580" t="s">
        <v>4</v>
      </c>
      <c r="B580" s="1" t="s">
        <v>13</v>
      </c>
      <c r="C580" t="s">
        <v>11</v>
      </c>
      <c r="D580" t="s">
        <v>8</v>
      </c>
      <c r="E580" t="s">
        <v>18</v>
      </c>
    </row>
    <row r="581" spans="1:5" x14ac:dyDescent="0.3">
      <c r="A581" t="s">
        <v>4</v>
      </c>
      <c r="B581" s="1" t="s">
        <v>13</v>
      </c>
      <c r="C581" t="s">
        <v>11</v>
      </c>
      <c r="D581" t="s">
        <v>9</v>
      </c>
      <c r="E581" t="s">
        <v>18</v>
      </c>
    </row>
    <row r="582" spans="1:5" x14ac:dyDescent="0.3">
      <c r="A582" t="s">
        <v>4</v>
      </c>
      <c r="B582" s="1" t="s">
        <v>13</v>
      </c>
      <c r="C582" t="s">
        <v>10</v>
      </c>
      <c r="D582" t="s">
        <v>5</v>
      </c>
      <c r="E582" t="s">
        <v>18</v>
      </c>
    </row>
    <row r="583" spans="1:5" x14ac:dyDescent="0.3">
      <c r="A583" t="s">
        <v>4</v>
      </c>
      <c r="B583" s="1" t="s">
        <v>13</v>
      </c>
      <c r="C583" t="s">
        <v>11</v>
      </c>
      <c r="D583" t="s">
        <v>6</v>
      </c>
      <c r="E583" t="s">
        <v>18</v>
      </c>
    </row>
    <row r="584" spans="1:5" x14ac:dyDescent="0.3">
      <c r="A584" t="s">
        <v>4</v>
      </c>
      <c r="B584" s="1" t="s">
        <v>13</v>
      </c>
      <c r="C584" t="s">
        <v>11</v>
      </c>
      <c r="D584" t="s">
        <v>7</v>
      </c>
      <c r="E584" t="s">
        <v>18</v>
      </c>
    </row>
    <row r="585" spans="1:5" x14ac:dyDescent="0.3">
      <c r="A585" t="s">
        <v>4</v>
      </c>
      <c r="B585" s="1" t="s">
        <v>13</v>
      </c>
      <c r="C585" t="s">
        <v>11</v>
      </c>
      <c r="D585" t="s">
        <v>8</v>
      </c>
      <c r="E585" t="s">
        <v>18</v>
      </c>
    </row>
    <row r="586" spans="1:5" x14ac:dyDescent="0.3">
      <c r="A586" t="s">
        <v>4</v>
      </c>
      <c r="B586" s="1" t="s">
        <v>13</v>
      </c>
      <c r="C586" t="s">
        <v>11</v>
      </c>
      <c r="D586" t="s">
        <v>9</v>
      </c>
      <c r="E586" t="s">
        <v>18</v>
      </c>
    </row>
    <row r="587" spans="1:5" x14ac:dyDescent="0.3">
      <c r="A587" t="s">
        <v>4</v>
      </c>
      <c r="B587" s="1" t="s">
        <v>13</v>
      </c>
      <c r="C587" t="s">
        <v>12</v>
      </c>
      <c r="D587" t="s">
        <v>5</v>
      </c>
      <c r="E587" t="s">
        <v>18</v>
      </c>
    </row>
    <row r="588" spans="1:5" x14ac:dyDescent="0.3">
      <c r="A588" t="s">
        <v>4</v>
      </c>
      <c r="B588" s="1" t="s">
        <v>13</v>
      </c>
      <c r="C588" t="s">
        <v>11</v>
      </c>
      <c r="D588" t="s">
        <v>6</v>
      </c>
      <c r="E588" t="s">
        <v>18</v>
      </c>
    </row>
    <row r="589" spans="1:5" x14ac:dyDescent="0.3">
      <c r="A589" t="s">
        <v>4</v>
      </c>
      <c r="B589" s="1" t="s">
        <v>13</v>
      </c>
      <c r="C589" t="s">
        <v>11</v>
      </c>
      <c r="D589" t="s">
        <v>7</v>
      </c>
      <c r="E589" t="s">
        <v>18</v>
      </c>
    </row>
    <row r="590" spans="1:5" x14ac:dyDescent="0.3">
      <c r="A590" t="s">
        <v>4</v>
      </c>
      <c r="B590" s="1" t="s">
        <v>13</v>
      </c>
      <c r="C590" t="s">
        <v>11</v>
      </c>
      <c r="D590" t="s">
        <v>8</v>
      </c>
      <c r="E590" t="s">
        <v>18</v>
      </c>
    </row>
    <row r="591" spans="1:5" x14ac:dyDescent="0.3">
      <c r="A591" t="s">
        <v>4</v>
      </c>
      <c r="B591" s="1" t="s">
        <v>13</v>
      </c>
      <c r="C591" t="s">
        <v>11</v>
      </c>
      <c r="D591" t="s">
        <v>9</v>
      </c>
      <c r="E591" t="s">
        <v>18</v>
      </c>
    </row>
    <row r="592" spans="1:5" x14ac:dyDescent="0.3">
      <c r="A592" t="s">
        <v>4</v>
      </c>
      <c r="B592" s="1" t="s">
        <v>13</v>
      </c>
      <c r="C592" t="s">
        <v>12</v>
      </c>
      <c r="D592" t="s">
        <v>5</v>
      </c>
      <c r="E592" t="s">
        <v>18</v>
      </c>
    </row>
    <row r="593" spans="1:5" x14ac:dyDescent="0.3">
      <c r="A593" t="s">
        <v>4</v>
      </c>
      <c r="B593" s="1" t="s">
        <v>13</v>
      </c>
      <c r="C593" t="s">
        <v>11</v>
      </c>
      <c r="D593" t="s">
        <v>6</v>
      </c>
      <c r="E593" t="s">
        <v>18</v>
      </c>
    </row>
    <row r="594" spans="1:5" x14ac:dyDescent="0.3">
      <c r="A594" t="s">
        <v>4</v>
      </c>
      <c r="B594" s="1" t="s">
        <v>13</v>
      </c>
      <c r="C594" t="s">
        <v>11</v>
      </c>
      <c r="D594" t="s">
        <v>7</v>
      </c>
      <c r="E594" t="s">
        <v>18</v>
      </c>
    </row>
    <row r="595" spans="1:5" x14ac:dyDescent="0.3">
      <c r="A595" t="s">
        <v>4</v>
      </c>
      <c r="B595" s="1" t="s">
        <v>13</v>
      </c>
      <c r="C595" t="s">
        <v>12</v>
      </c>
      <c r="D595" t="s">
        <v>8</v>
      </c>
      <c r="E595" t="s">
        <v>18</v>
      </c>
    </row>
    <row r="596" spans="1:5" x14ac:dyDescent="0.3">
      <c r="A596" t="s">
        <v>4</v>
      </c>
      <c r="B596" s="1" t="s">
        <v>13</v>
      </c>
      <c r="C596" t="s">
        <v>12</v>
      </c>
      <c r="D596" t="s">
        <v>9</v>
      </c>
      <c r="E596" t="s">
        <v>18</v>
      </c>
    </row>
    <row r="597" spans="1:5" x14ac:dyDescent="0.3">
      <c r="A597" t="s">
        <v>4</v>
      </c>
      <c r="B597" s="1" t="s">
        <v>13</v>
      </c>
      <c r="C597" t="s">
        <v>12</v>
      </c>
      <c r="D597" t="s">
        <v>5</v>
      </c>
      <c r="E597" t="s">
        <v>18</v>
      </c>
    </row>
    <row r="598" spans="1:5" x14ac:dyDescent="0.3">
      <c r="A598" t="s">
        <v>4</v>
      </c>
      <c r="B598" s="1" t="s">
        <v>13</v>
      </c>
      <c r="C598" t="s">
        <v>11</v>
      </c>
      <c r="D598" t="s">
        <v>6</v>
      </c>
      <c r="E598" t="s">
        <v>18</v>
      </c>
    </row>
    <row r="599" spans="1:5" x14ac:dyDescent="0.3">
      <c r="A599" t="s">
        <v>4</v>
      </c>
      <c r="B599" s="1" t="s">
        <v>13</v>
      </c>
      <c r="C599" t="s">
        <v>12</v>
      </c>
      <c r="D599" t="s">
        <v>7</v>
      </c>
      <c r="E599" t="s">
        <v>18</v>
      </c>
    </row>
    <row r="600" spans="1:5" x14ac:dyDescent="0.3">
      <c r="A600" t="s">
        <v>4</v>
      </c>
      <c r="B600" s="1" t="s">
        <v>13</v>
      </c>
      <c r="C600" t="s">
        <v>12</v>
      </c>
      <c r="D600" t="s">
        <v>8</v>
      </c>
      <c r="E600" t="s">
        <v>18</v>
      </c>
    </row>
    <row r="601" spans="1:5" x14ac:dyDescent="0.3">
      <c r="A601" t="s">
        <v>4</v>
      </c>
      <c r="B601" s="1" t="s">
        <v>13</v>
      </c>
      <c r="C601" t="s">
        <v>12</v>
      </c>
      <c r="D601" t="s">
        <v>9</v>
      </c>
      <c r="E601" t="s">
        <v>18</v>
      </c>
    </row>
    <row r="602" spans="1:5" x14ac:dyDescent="0.3">
      <c r="A602" t="s">
        <v>4</v>
      </c>
      <c r="B602" s="1" t="s">
        <v>13</v>
      </c>
      <c r="C602" t="s">
        <v>12</v>
      </c>
      <c r="D602" t="s">
        <v>5</v>
      </c>
      <c r="E602" t="s">
        <v>18</v>
      </c>
    </row>
    <row r="603" spans="1:5" x14ac:dyDescent="0.3">
      <c r="A603" t="s">
        <v>4</v>
      </c>
      <c r="B603" s="1" t="s">
        <v>13</v>
      </c>
      <c r="C603" t="s">
        <v>11</v>
      </c>
      <c r="D603" t="s">
        <v>6</v>
      </c>
      <c r="E603" t="s">
        <v>18</v>
      </c>
    </row>
    <row r="604" spans="1:5" x14ac:dyDescent="0.3">
      <c r="A604" t="s">
        <v>4</v>
      </c>
      <c r="B604" s="1" t="s">
        <v>13</v>
      </c>
      <c r="C604" t="s">
        <v>12</v>
      </c>
      <c r="D604" t="s">
        <v>7</v>
      </c>
      <c r="E604" t="s">
        <v>18</v>
      </c>
    </row>
    <row r="605" spans="1:5" x14ac:dyDescent="0.3">
      <c r="A605" t="s">
        <v>4</v>
      </c>
      <c r="B605" s="1" t="s">
        <v>13</v>
      </c>
      <c r="C605" t="s">
        <v>12</v>
      </c>
      <c r="D605" t="s">
        <v>8</v>
      </c>
      <c r="E605" t="s">
        <v>18</v>
      </c>
    </row>
    <row r="606" spans="1:5" x14ac:dyDescent="0.3">
      <c r="A606" t="s">
        <v>4</v>
      </c>
      <c r="B606" s="1" t="s">
        <v>13</v>
      </c>
      <c r="C606" t="s">
        <v>12</v>
      </c>
      <c r="D606" t="s">
        <v>9</v>
      </c>
      <c r="E606" t="s">
        <v>18</v>
      </c>
    </row>
    <row r="607" spans="1:5" x14ac:dyDescent="0.3">
      <c r="A607" t="s">
        <v>4</v>
      </c>
      <c r="B607" s="1" t="s">
        <v>13</v>
      </c>
      <c r="C607" t="s">
        <v>12</v>
      </c>
      <c r="D607" t="s">
        <v>5</v>
      </c>
      <c r="E607" t="s">
        <v>18</v>
      </c>
    </row>
    <row r="608" spans="1:5" x14ac:dyDescent="0.3">
      <c r="A608" t="s">
        <v>4</v>
      </c>
      <c r="B608" s="1" t="s">
        <v>13</v>
      </c>
      <c r="C608" t="s">
        <v>11</v>
      </c>
      <c r="D608" t="s">
        <v>6</v>
      </c>
      <c r="E608" t="s">
        <v>18</v>
      </c>
    </row>
    <row r="609" spans="1:5" x14ac:dyDescent="0.3">
      <c r="A609" t="s">
        <v>4</v>
      </c>
      <c r="B609" s="1" t="s">
        <v>13</v>
      </c>
      <c r="C609" t="s">
        <v>11</v>
      </c>
      <c r="D609" t="s">
        <v>7</v>
      </c>
      <c r="E609" t="s">
        <v>18</v>
      </c>
    </row>
    <row r="610" spans="1:5" x14ac:dyDescent="0.3">
      <c r="A610" t="s">
        <v>4</v>
      </c>
      <c r="B610" s="1" t="s">
        <v>13</v>
      </c>
      <c r="C610" t="s">
        <v>12</v>
      </c>
      <c r="D610" t="s">
        <v>8</v>
      </c>
      <c r="E610" t="s">
        <v>18</v>
      </c>
    </row>
    <row r="611" spans="1:5" x14ac:dyDescent="0.3">
      <c r="A611" t="s">
        <v>4</v>
      </c>
      <c r="B611" s="1" t="s">
        <v>13</v>
      </c>
      <c r="C611" t="s">
        <v>12</v>
      </c>
      <c r="D611" t="s">
        <v>9</v>
      </c>
      <c r="E611" t="s">
        <v>18</v>
      </c>
    </row>
    <row r="612" spans="1:5" x14ac:dyDescent="0.3">
      <c r="A612" t="s">
        <v>4</v>
      </c>
      <c r="B612" s="1" t="s">
        <v>13</v>
      </c>
      <c r="C612" t="s">
        <v>12</v>
      </c>
      <c r="D612" t="s">
        <v>5</v>
      </c>
      <c r="E612" t="s">
        <v>18</v>
      </c>
    </row>
    <row r="613" spans="1:5" x14ac:dyDescent="0.3">
      <c r="A613" t="s">
        <v>4</v>
      </c>
      <c r="B613" s="1" t="s">
        <v>13</v>
      </c>
      <c r="C613" t="s">
        <v>11</v>
      </c>
      <c r="D613" t="s">
        <v>6</v>
      </c>
      <c r="E613" t="s">
        <v>18</v>
      </c>
    </row>
    <row r="614" spans="1:5" x14ac:dyDescent="0.3">
      <c r="A614" t="s">
        <v>4</v>
      </c>
      <c r="B614" s="1" t="s">
        <v>13</v>
      </c>
      <c r="C614" t="s">
        <v>11</v>
      </c>
      <c r="D614" t="s">
        <v>7</v>
      </c>
      <c r="E614" t="s">
        <v>18</v>
      </c>
    </row>
    <row r="615" spans="1:5" x14ac:dyDescent="0.3">
      <c r="A615" t="s">
        <v>4</v>
      </c>
      <c r="B615" s="1" t="s">
        <v>13</v>
      </c>
      <c r="C615" t="s">
        <v>12</v>
      </c>
      <c r="D615" t="s">
        <v>8</v>
      </c>
      <c r="E615" t="s">
        <v>18</v>
      </c>
    </row>
    <row r="616" spans="1:5" x14ac:dyDescent="0.3">
      <c r="A616" t="s">
        <v>4</v>
      </c>
      <c r="B616" s="1" t="s">
        <v>13</v>
      </c>
      <c r="C616" t="s">
        <v>12</v>
      </c>
      <c r="D616" t="s">
        <v>9</v>
      </c>
      <c r="E616" t="s">
        <v>18</v>
      </c>
    </row>
    <row r="617" spans="1:5" x14ac:dyDescent="0.3">
      <c r="A617" t="s">
        <v>4</v>
      </c>
      <c r="B617" s="1" t="s">
        <v>13</v>
      </c>
      <c r="C617" t="s">
        <v>12</v>
      </c>
      <c r="D617" t="s">
        <v>5</v>
      </c>
      <c r="E617" t="s">
        <v>18</v>
      </c>
    </row>
    <row r="618" spans="1:5" x14ac:dyDescent="0.3">
      <c r="A618" t="s">
        <v>4</v>
      </c>
      <c r="B618" s="1" t="s">
        <v>13</v>
      </c>
      <c r="C618" t="s">
        <v>11</v>
      </c>
      <c r="D618" t="s">
        <v>6</v>
      </c>
      <c r="E618" t="s">
        <v>18</v>
      </c>
    </row>
    <row r="619" spans="1:5" x14ac:dyDescent="0.3">
      <c r="A619" t="s">
        <v>4</v>
      </c>
      <c r="B619" s="1" t="s">
        <v>13</v>
      </c>
      <c r="C619" t="s">
        <v>11</v>
      </c>
      <c r="D619" t="s">
        <v>7</v>
      </c>
      <c r="E619" t="s">
        <v>18</v>
      </c>
    </row>
    <row r="620" spans="1:5" x14ac:dyDescent="0.3">
      <c r="A620" t="s">
        <v>4</v>
      </c>
      <c r="B620" s="1" t="s">
        <v>13</v>
      </c>
      <c r="C620" t="s">
        <v>12</v>
      </c>
      <c r="D620" t="s">
        <v>8</v>
      </c>
      <c r="E620" t="s">
        <v>18</v>
      </c>
    </row>
    <row r="621" spans="1:5" x14ac:dyDescent="0.3">
      <c r="A621" t="s">
        <v>4</v>
      </c>
      <c r="B621" s="1" t="s">
        <v>13</v>
      </c>
      <c r="C621" t="s">
        <v>12</v>
      </c>
      <c r="D621" t="s">
        <v>9</v>
      </c>
      <c r="E621" t="s">
        <v>18</v>
      </c>
    </row>
    <row r="622" spans="1:5" x14ac:dyDescent="0.3">
      <c r="A622" t="s">
        <v>4</v>
      </c>
      <c r="B622" s="1" t="s">
        <v>13</v>
      </c>
      <c r="C622" t="s">
        <v>12</v>
      </c>
      <c r="D622" t="s">
        <v>5</v>
      </c>
      <c r="E622" t="s">
        <v>18</v>
      </c>
    </row>
    <row r="623" spans="1:5" x14ac:dyDescent="0.3">
      <c r="A623" t="s">
        <v>4</v>
      </c>
      <c r="B623" s="1" t="s">
        <v>13</v>
      </c>
      <c r="C623" t="s">
        <v>11</v>
      </c>
      <c r="D623" t="s">
        <v>6</v>
      </c>
      <c r="E623" t="s">
        <v>18</v>
      </c>
    </row>
    <row r="624" spans="1:5" x14ac:dyDescent="0.3">
      <c r="A624" t="s">
        <v>4</v>
      </c>
      <c r="B624" s="1" t="s">
        <v>13</v>
      </c>
      <c r="C624" t="s">
        <v>11</v>
      </c>
      <c r="D624" t="s">
        <v>7</v>
      </c>
      <c r="E624" t="s">
        <v>18</v>
      </c>
    </row>
    <row r="625" spans="1:5" x14ac:dyDescent="0.3">
      <c r="A625" t="s">
        <v>4</v>
      </c>
      <c r="B625" s="1" t="s">
        <v>13</v>
      </c>
      <c r="C625" t="s">
        <v>11</v>
      </c>
      <c r="D625" t="s">
        <v>8</v>
      </c>
      <c r="E625" t="s">
        <v>18</v>
      </c>
    </row>
    <row r="626" spans="1:5" x14ac:dyDescent="0.3">
      <c r="A626" t="s">
        <v>4</v>
      </c>
      <c r="B626" s="1" t="s">
        <v>13</v>
      </c>
      <c r="C626" t="s">
        <v>12</v>
      </c>
      <c r="D626" t="s">
        <v>9</v>
      </c>
      <c r="E626" t="s">
        <v>18</v>
      </c>
    </row>
    <row r="627" spans="1:5" x14ac:dyDescent="0.3">
      <c r="A627" t="s">
        <v>4</v>
      </c>
      <c r="B627" s="1" t="s">
        <v>13</v>
      </c>
      <c r="C627" t="s">
        <v>12</v>
      </c>
      <c r="D627" t="s">
        <v>5</v>
      </c>
      <c r="E627" t="s">
        <v>18</v>
      </c>
    </row>
    <row r="628" spans="1:5" x14ac:dyDescent="0.3">
      <c r="A628" t="s">
        <v>4</v>
      </c>
      <c r="B628" s="1" t="s">
        <v>13</v>
      </c>
      <c r="C628" t="s">
        <v>11</v>
      </c>
      <c r="D628" t="s">
        <v>6</v>
      </c>
      <c r="E628" t="s">
        <v>18</v>
      </c>
    </row>
    <row r="629" spans="1:5" x14ac:dyDescent="0.3">
      <c r="A629" t="s">
        <v>4</v>
      </c>
      <c r="B629" s="1" t="s">
        <v>13</v>
      </c>
      <c r="C629" t="s">
        <v>11</v>
      </c>
      <c r="D629" t="s">
        <v>7</v>
      </c>
      <c r="E629" t="s">
        <v>18</v>
      </c>
    </row>
    <row r="630" spans="1:5" x14ac:dyDescent="0.3">
      <c r="A630" t="s">
        <v>4</v>
      </c>
      <c r="B630" s="1" t="s">
        <v>13</v>
      </c>
      <c r="C630" t="s">
        <v>11</v>
      </c>
      <c r="D630" t="s">
        <v>8</v>
      </c>
      <c r="E630" t="s">
        <v>18</v>
      </c>
    </row>
    <row r="631" spans="1:5" x14ac:dyDescent="0.3">
      <c r="A631" t="s">
        <v>4</v>
      </c>
      <c r="B631" s="1" t="s">
        <v>13</v>
      </c>
      <c r="C631" t="s">
        <v>12</v>
      </c>
      <c r="D631" t="s">
        <v>9</v>
      </c>
      <c r="E631" t="s">
        <v>18</v>
      </c>
    </row>
    <row r="632" spans="1:5" x14ac:dyDescent="0.3">
      <c r="A632" t="s">
        <v>4</v>
      </c>
      <c r="B632" s="1" t="s">
        <v>13</v>
      </c>
      <c r="C632" t="s">
        <v>12</v>
      </c>
      <c r="D632" t="s">
        <v>5</v>
      </c>
      <c r="E632" t="s">
        <v>18</v>
      </c>
    </row>
    <row r="633" spans="1:5" x14ac:dyDescent="0.3">
      <c r="A633" t="s">
        <v>4</v>
      </c>
      <c r="B633" s="1" t="s">
        <v>13</v>
      </c>
      <c r="C633" t="s">
        <v>11</v>
      </c>
      <c r="D633" t="s">
        <v>6</v>
      </c>
      <c r="E633" t="s">
        <v>18</v>
      </c>
    </row>
    <row r="634" spans="1:5" x14ac:dyDescent="0.3">
      <c r="A634" t="s">
        <v>4</v>
      </c>
      <c r="B634" s="1" t="s">
        <v>13</v>
      </c>
      <c r="C634" t="s">
        <v>11</v>
      </c>
      <c r="D634" t="s">
        <v>7</v>
      </c>
      <c r="E634" t="s">
        <v>18</v>
      </c>
    </row>
    <row r="635" spans="1:5" x14ac:dyDescent="0.3">
      <c r="A635" t="s">
        <v>4</v>
      </c>
      <c r="B635" s="1" t="s">
        <v>13</v>
      </c>
      <c r="C635" t="s">
        <v>11</v>
      </c>
      <c r="D635" t="s">
        <v>8</v>
      </c>
      <c r="E635" t="s">
        <v>18</v>
      </c>
    </row>
    <row r="636" spans="1:5" x14ac:dyDescent="0.3">
      <c r="A636" t="s">
        <v>4</v>
      </c>
      <c r="B636" s="1" t="s">
        <v>13</v>
      </c>
      <c r="C636" t="s">
        <v>11</v>
      </c>
      <c r="D636" t="s">
        <v>9</v>
      </c>
      <c r="E636" t="s">
        <v>18</v>
      </c>
    </row>
    <row r="637" spans="1:5" x14ac:dyDescent="0.3">
      <c r="A637" t="s">
        <v>4</v>
      </c>
      <c r="B637" s="1" t="s">
        <v>13</v>
      </c>
      <c r="C637" t="s">
        <v>12</v>
      </c>
      <c r="D637" t="s">
        <v>5</v>
      </c>
      <c r="E637" t="s">
        <v>18</v>
      </c>
    </row>
    <row r="638" spans="1:5" x14ac:dyDescent="0.3">
      <c r="A638" t="s">
        <v>4</v>
      </c>
      <c r="B638" s="1" t="s">
        <v>13</v>
      </c>
      <c r="C638" t="s">
        <v>11</v>
      </c>
      <c r="D638" t="s">
        <v>6</v>
      </c>
      <c r="E638" t="s">
        <v>18</v>
      </c>
    </row>
    <row r="639" spans="1:5" x14ac:dyDescent="0.3">
      <c r="A639" t="s">
        <v>4</v>
      </c>
      <c r="B639" s="1" t="s">
        <v>13</v>
      </c>
      <c r="C639" t="s">
        <v>11</v>
      </c>
      <c r="D639" t="s">
        <v>7</v>
      </c>
      <c r="E639" t="s">
        <v>18</v>
      </c>
    </row>
    <row r="640" spans="1:5" x14ac:dyDescent="0.3">
      <c r="A640" t="s">
        <v>4</v>
      </c>
      <c r="B640" s="1" t="s">
        <v>13</v>
      </c>
      <c r="C640" t="s">
        <v>12</v>
      </c>
      <c r="D640" t="s">
        <v>8</v>
      </c>
      <c r="E640" t="s">
        <v>18</v>
      </c>
    </row>
    <row r="641" spans="1:5" x14ac:dyDescent="0.3">
      <c r="A641" t="s">
        <v>4</v>
      </c>
      <c r="B641" s="1" t="s">
        <v>13</v>
      </c>
      <c r="C641" t="s">
        <v>12</v>
      </c>
      <c r="D641" t="s">
        <v>9</v>
      </c>
      <c r="E641" t="s">
        <v>18</v>
      </c>
    </row>
    <row r="642" spans="1:5" x14ac:dyDescent="0.3">
      <c r="A642" t="s">
        <v>4</v>
      </c>
      <c r="B642" s="1" t="s">
        <v>13</v>
      </c>
      <c r="C642" t="s">
        <v>12</v>
      </c>
      <c r="D642" t="s">
        <v>5</v>
      </c>
      <c r="E642" t="s">
        <v>18</v>
      </c>
    </row>
    <row r="643" spans="1:5" x14ac:dyDescent="0.3">
      <c r="A643" t="s">
        <v>4</v>
      </c>
      <c r="B643" s="1" t="s">
        <v>13</v>
      </c>
      <c r="C643" t="s">
        <v>11</v>
      </c>
      <c r="D643" t="s">
        <v>6</v>
      </c>
      <c r="E643" t="s">
        <v>18</v>
      </c>
    </row>
    <row r="644" spans="1:5" x14ac:dyDescent="0.3">
      <c r="A644" t="s">
        <v>4</v>
      </c>
      <c r="B644" s="1" t="s">
        <v>13</v>
      </c>
      <c r="C644" t="s">
        <v>12</v>
      </c>
      <c r="D644" t="s">
        <v>7</v>
      </c>
      <c r="E644" t="s">
        <v>18</v>
      </c>
    </row>
    <row r="645" spans="1:5" x14ac:dyDescent="0.3">
      <c r="A645" t="s">
        <v>4</v>
      </c>
      <c r="B645" s="1" t="s">
        <v>13</v>
      </c>
      <c r="C645" t="s">
        <v>12</v>
      </c>
      <c r="D645" t="s">
        <v>8</v>
      </c>
      <c r="E645" t="s">
        <v>18</v>
      </c>
    </row>
    <row r="646" spans="1:5" x14ac:dyDescent="0.3">
      <c r="A646" t="s">
        <v>4</v>
      </c>
      <c r="B646" s="1" t="s">
        <v>13</v>
      </c>
      <c r="C646" t="s">
        <v>12</v>
      </c>
      <c r="D646" t="s">
        <v>9</v>
      </c>
      <c r="E646" t="s">
        <v>18</v>
      </c>
    </row>
    <row r="647" spans="1:5" x14ac:dyDescent="0.3">
      <c r="A647" t="s">
        <v>4</v>
      </c>
      <c r="B647" s="1" t="s">
        <v>13</v>
      </c>
      <c r="C647" t="s">
        <v>12</v>
      </c>
      <c r="D647" t="s">
        <v>5</v>
      </c>
      <c r="E647" t="s">
        <v>18</v>
      </c>
    </row>
    <row r="648" spans="1:5" x14ac:dyDescent="0.3">
      <c r="A648" t="s">
        <v>4</v>
      </c>
      <c r="B648" s="1" t="s">
        <v>13</v>
      </c>
      <c r="C648" t="s">
        <v>11</v>
      </c>
      <c r="D648" t="s">
        <v>6</v>
      </c>
      <c r="E648" t="s">
        <v>18</v>
      </c>
    </row>
    <row r="649" spans="1:5" x14ac:dyDescent="0.3">
      <c r="A649" t="s">
        <v>4</v>
      </c>
      <c r="B649" s="1" t="s">
        <v>13</v>
      </c>
      <c r="C649" t="s">
        <v>11</v>
      </c>
      <c r="D649" t="s">
        <v>7</v>
      </c>
      <c r="E649" t="s">
        <v>18</v>
      </c>
    </row>
    <row r="650" spans="1:5" x14ac:dyDescent="0.3">
      <c r="A650" t="s">
        <v>4</v>
      </c>
      <c r="B650" s="1" t="s">
        <v>13</v>
      </c>
      <c r="C650" t="s">
        <v>12</v>
      </c>
      <c r="D650" t="s">
        <v>8</v>
      </c>
      <c r="E650" t="s">
        <v>18</v>
      </c>
    </row>
    <row r="651" spans="1:5" x14ac:dyDescent="0.3">
      <c r="A651" t="s">
        <v>4</v>
      </c>
      <c r="B651" s="1" t="s">
        <v>13</v>
      </c>
      <c r="C651" t="s">
        <v>12</v>
      </c>
      <c r="D651" t="s">
        <v>9</v>
      </c>
      <c r="E651" t="s">
        <v>18</v>
      </c>
    </row>
    <row r="652" spans="1:5" x14ac:dyDescent="0.3">
      <c r="A652" t="s">
        <v>4</v>
      </c>
      <c r="B652" s="1" t="s">
        <v>13</v>
      </c>
      <c r="C652" t="s">
        <v>12</v>
      </c>
      <c r="D652" t="s">
        <v>5</v>
      </c>
      <c r="E652" t="s">
        <v>18</v>
      </c>
    </row>
    <row r="653" spans="1:5" x14ac:dyDescent="0.3">
      <c r="A653" t="s">
        <v>4</v>
      </c>
      <c r="B653" s="1" t="s">
        <v>13</v>
      </c>
      <c r="C653" t="s">
        <v>11</v>
      </c>
      <c r="D653" t="s">
        <v>6</v>
      </c>
      <c r="E653" t="s">
        <v>18</v>
      </c>
    </row>
    <row r="654" spans="1:5" x14ac:dyDescent="0.3">
      <c r="A654" t="s">
        <v>4</v>
      </c>
      <c r="B654" s="1" t="s">
        <v>13</v>
      </c>
      <c r="C654" t="s">
        <v>11</v>
      </c>
      <c r="D654" t="s">
        <v>7</v>
      </c>
      <c r="E654" t="s">
        <v>18</v>
      </c>
    </row>
    <row r="655" spans="1:5" x14ac:dyDescent="0.3">
      <c r="A655" t="s">
        <v>4</v>
      </c>
      <c r="B655" s="1" t="s">
        <v>13</v>
      </c>
      <c r="C655" t="s">
        <v>12</v>
      </c>
      <c r="D655" t="s">
        <v>8</v>
      </c>
      <c r="E655" t="s">
        <v>18</v>
      </c>
    </row>
    <row r="656" spans="1:5" x14ac:dyDescent="0.3">
      <c r="A656" t="s">
        <v>4</v>
      </c>
      <c r="B656" s="1" t="s">
        <v>13</v>
      </c>
      <c r="C656" t="s">
        <v>12</v>
      </c>
      <c r="D656" t="s">
        <v>9</v>
      </c>
      <c r="E656" t="s">
        <v>18</v>
      </c>
    </row>
    <row r="657" spans="1:5" x14ac:dyDescent="0.3">
      <c r="A657" t="s">
        <v>4</v>
      </c>
      <c r="B657" s="1" t="s">
        <v>13</v>
      </c>
      <c r="C657" t="s">
        <v>12</v>
      </c>
      <c r="D657" t="s">
        <v>5</v>
      </c>
      <c r="E657" t="s">
        <v>18</v>
      </c>
    </row>
    <row r="658" spans="1:5" x14ac:dyDescent="0.3">
      <c r="A658" t="s">
        <v>4</v>
      </c>
      <c r="B658" s="1" t="s">
        <v>13</v>
      </c>
      <c r="C658" t="s">
        <v>11</v>
      </c>
      <c r="D658" t="s">
        <v>6</v>
      </c>
      <c r="E658" t="s">
        <v>18</v>
      </c>
    </row>
    <row r="659" spans="1:5" x14ac:dyDescent="0.3">
      <c r="A659" t="s">
        <v>4</v>
      </c>
      <c r="B659" s="1" t="s">
        <v>13</v>
      </c>
      <c r="C659" t="s">
        <v>12</v>
      </c>
      <c r="D659" t="s">
        <v>7</v>
      </c>
      <c r="E659" t="s">
        <v>18</v>
      </c>
    </row>
    <row r="660" spans="1:5" x14ac:dyDescent="0.3">
      <c r="A660" t="s">
        <v>4</v>
      </c>
      <c r="B660" s="1" t="s">
        <v>13</v>
      </c>
      <c r="C660" t="s">
        <v>12</v>
      </c>
      <c r="D660" t="s">
        <v>8</v>
      </c>
      <c r="E660" t="s">
        <v>18</v>
      </c>
    </row>
    <row r="661" spans="1:5" x14ac:dyDescent="0.3">
      <c r="A661" t="s">
        <v>4</v>
      </c>
      <c r="B661" s="1" t="s">
        <v>13</v>
      </c>
      <c r="C661" t="s">
        <v>12</v>
      </c>
      <c r="D661" t="s">
        <v>9</v>
      </c>
      <c r="E661" t="s">
        <v>18</v>
      </c>
    </row>
    <row r="662" spans="1:5" x14ac:dyDescent="0.3">
      <c r="A662" t="s">
        <v>4</v>
      </c>
      <c r="B662" s="1" t="s">
        <v>13</v>
      </c>
      <c r="C662" t="s">
        <v>12</v>
      </c>
      <c r="D662" t="s">
        <v>5</v>
      </c>
      <c r="E662" t="s">
        <v>18</v>
      </c>
    </row>
    <row r="663" spans="1:5" x14ac:dyDescent="0.3">
      <c r="A663" t="s">
        <v>4</v>
      </c>
      <c r="B663" s="1" t="s">
        <v>13</v>
      </c>
      <c r="C663" t="s">
        <v>11</v>
      </c>
      <c r="D663" t="s">
        <v>6</v>
      </c>
      <c r="E663" t="s">
        <v>18</v>
      </c>
    </row>
    <row r="664" spans="1:5" x14ac:dyDescent="0.3">
      <c r="A664" t="s">
        <v>4</v>
      </c>
      <c r="B664" s="1" t="s">
        <v>13</v>
      </c>
      <c r="C664" t="s">
        <v>11</v>
      </c>
      <c r="D664" t="s">
        <v>7</v>
      </c>
      <c r="E664" t="s">
        <v>18</v>
      </c>
    </row>
    <row r="665" spans="1:5" x14ac:dyDescent="0.3">
      <c r="A665" t="s">
        <v>4</v>
      </c>
      <c r="B665" s="1" t="s">
        <v>13</v>
      </c>
      <c r="C665" t="s">
        <v>12</v>
      </c>
      <c r="D665" t="s">
        <v>8</v>
      </c>
      <c r="E665" t="s">
        <v>18</v>
      </c>
    </row>
    <row r="666" spans="1:5" x14ac:dyDescent="0.3">
      <c r="A666" t="s">
        <v>4</v>
      </c>
      <c r="B666" s="1" t="s">
        <v>13</v>
      </c>
      <c r="C666" t="s">
        <v>12</v>
      </c>
      <c r="D666" t="s">
        <v>9</v>
      </c>
      <c r="E666" t="s">
        <v>18</v>
      </c>
    </row>
    <row r="667" spans="1:5" x14ac:dyDescent="0.3">
      <c r="A667" t="s">
        <v>4</v>
      </c>
      <c r="B667" s="1" t="s">
        <v>13</v>
      </c>
      <c r="C667" t="s">
        <v>12</v>
      </c>
      <c r="D667" t="s">
        <v>5</v>
      </c>
      <c r="E667" t="s">
        <v>18</v>
      </c>
    </row>
    <row r="668" spans="1:5" x14ac:dyDescent="0.3">
      <c r="A668" t="s">
        <v>4</v>
      </c>
      <c r="B668" s="1" t="s">
        <v>13</v>
      </c>
      <c r="C668" t="s">
        <v>11</v>
      </c>
      <c r="D668" t="s">
        <v>6</v>
      </c>
      <c r="E668" t="s">
        <v>18</v>
      </c>
    </row>
    <row r="669" spans="1:5" x14ac:dyDescent="0.3">
      <c r="A669" t="s">
        <v>4</v>
      </c>
      <c r="B669" s="1" t="s">
        <v>13</v>
      </c>
      <c r="C669" t="s">
        <v>11</v>
      </c>
      <c r="D669" t="s">
        <v>7</v>
      </c>
      <c r="E669" t="s">
        <v>18</v>
      </c>
    </row>
    <row r="670" spans="1:5" x14ac:dyDescent="0.3">
      <c r="A670" t="s">
        <v>4</v>
      </c>
      <c r="B670" s="1" t="s">
        <v>13</v>
      </c>
      <c r="C670" t="s">
        <v>11</v>
      </c>
      <c r="D670" t="s">
        <v>8</v>
      </c>
      <c r="E670" t="s">
        <v>18</v>
      </c>
    </row>
    <row r="671" spans="1:5" x14ac:dyDescent="0.3">
      <c r="A671" t="s">
        <v>4</v>
      </c>
      <c r="B671" s="1" t="s">
        <v>13</v>
      </c>
      <c r="C671" t="s">
        <v>11</v>
      </c>
      <c r="D671" t="s">
        <v>9</v>
      </c>
      <c r="E671" t="s">
        <v>18</v>
      </c>
    </row>
    <row r="672" spans="1:5" x14ac:dyDescent="0.3">
      <c r="A672" t="s">
        <v>4</v>
      </c>
      <c r="B672" s="1" t="s">
        <v>13</v>
      </c>
      <c r="C672" t="s">
        <v>12</v>
      </c>
      <c r="D672" t="s">
        <v>5</v>
      </c>
      <c r="E672" t="s">
        <v>18</v>
      </c>
    </row>
    <row r="673" spans="1:5" x14ac:dyDescent="0.3">
      <c r="A673" t="s">
        <v>4</v>
      </c>
      <c r="B673" s="1" t="s">
        <v>13</v>
      </c>
      <c r="C673" t="s">
        <v>11</v>
      </c>
      <c r="D673" t="s">
        <v>6</v>
      </c>
      <c r="E673" t="s">
        <v>18</v>
      </c>
    </row>
    <row r="674" spans="1:5" x14ac:dyDescent="0.3">
      <c r="A674" t="s">
        <v>4</v>
      </c>
      <c r="B674" s="1" t="s">
        <v>13</v>
      </c>
      <c r="C674" t="s">
        <v>11</v>
      </c>
      <c r="D674" t="s">
        <v>7</v>
      </c>
      <c r="E674" t="s">
        <v>18</v>
      </c>
    </row>
    <row r="675" spans="1:5" x14ac:dyDescent="0.3">
      <c r="A675" t="s">
        <v>4</v>
      </c>
      <c r="B675" s="1" t="s">
        <v>13</v>
      </c>
      <c r="C675" t="s">
        <v>12</v>
      </c>
      <c r="D675" t="s">
        <v>8</v>
      </c>
      <c r="E675" t="s">
        <v>18</v>
      </c>
    </row>
    <row r="676" spans="1:5" x14ac:dyDescent="0.3">
      <c r="A676" t="s">
        <v>4</v>
      </c>
      <c r="B676" s="1" t="s">
        <v>13</v>
      </c>
      <c r="C676" t="s">
        <v>12</v>
      </c>
      <c r="D676" t="s">
        <v>9</v>
      </c>
      <c r="E676" t="s">
        <v>18</v>
      </c>
    </row>
    <row r="677" spans="1:5" x14ac:dyDescent="0.3">
      <c r="A677" t="s">
        <v>4</v>
      </c>
      <c r="B677" s="1" t="s">
        <v>13</v>
      </c>
      <c r="C677" t="s">
        <v>12</v>
      </c>
      <c r="D677" t="s">
        <v>5</v>
      </c>
      <c r="E677" t="s">
        <v>18</v>
      </c>
    </row>
    <row r="678" spans="1:5" x14ac:dyDescent="0.3">
      <c r="A678" t="s">
        <v>4</v>
      </c>
      <c r="B678" s="1" t="s">
        <v>13</v>
      </c>
      <c r="C678" t="s">
        <v>11</v>
      </c>
      <c r="D678" t="s">
        <v>6</v>
      </c>
      <c r="E678" t="s">
        <v>18</v>
      </c>
    </row>
    <row r="679" spans="1:5" x14ac:dyDescent="0.3">
      <c r="A679" t="s">
        <v>4</v>
      </c>
      <c r="B679" s="1" t="s">
        <v>13</v>
      </c>
      <c r="C679" t="s">
        <v>11</v>
      </c>
      <c r="D679" t="s">
        <v>7</v>
      </c>
      <c r="E679" t="s">
        <v>18</v>
      </c>
    </row>
    <row r="680" spans="1:5" x14ac:dyDescent="0.3">
      <c r="A680" t="s">
        <v>4</v>
      </c>
      <c r="B680" s="1" t="s">
        <v>13</v>
      </c>
      <c r="C680" t="s">
        <v>12</v>
      </c>
      <c r="D680" t="s">
        <v>8</v>
      </c>
      <c r="E680" t="s">
        <v>18</v>
      </c>
    </row>
    <row r="681" spans="1:5" x14ac:dyDescent="0.3">
      <c r="A681" t="s">
        <v>4</v>
      </c>
      <c r="B681" s="1" t="s">
        <v>13</v>
      </c>
      <c r="C681" t="s">
        <v>12</v>
      </c>
      <c r="D681" t="s">
        <v>9</v>
      </c>
      <c r="E681" t="s">
        <v>18</v>
      </c>
    </row>
    <row r="682" spans="1:5" x14ac:dyDescent="0.3">
      <c r="A682" t="s">
        <v>4</v>
      </c>
      <c r="B682" s="1" t="s">
        <v>13</v>
      </c>
      <c r="C682" t="s">
        <v>12</v>
      </c>
      <c r="D682" t="s">
        <v>5</v>
      </c>
      <c r="E682" t="s">
        <v>18</v>
      </c>
    </row>
    <row r="683" spans="1:5" x14ac:dyDescent="0.3">
      <c r="A683" t="s">
        <v>4</v>
      </c>
      <c r="B683" s="1" t="s">
        <v>13</v>
      </c>
      <c r="C683" t="s">
        <v>11</v>
      </c>
      <c r="D683" t="s">
        <v>6</v>
      </c>
      <c r="E683" t="s">
        <v>18</v>
      </c>
    </row>
    <row r="684" spans="1:5" x14ac:dyDescent="0.3">
      <c r="A684" t="s">
        <v>4</v>
      </c>
      <c r="B684" s="1" t="s">
        <v>13</v>
      </c>
      <c r="C684" t="s">
        <v>12</v>
      </c>
      <c r="D684" t="s">
        <v>7</v>
      </c>
      <c r="E684" t="s">
        <v>18</v>
      </c>
    </row>
    <row r="685" spans="1:5" x14ac:dyDescent="0.3">
      <c r="A685" t="s">
        <v>4</v>
      </c>
      <c r="B685" s="1" t="s">
        <v>13</v>
      </c>
      <c r="C685" t="s">
        <v>12</v>
      </c>
      <c r="D685" t="s">
        <v>8</v>
      </c>
      <c r="E685" t="s">
        <v>18</v>
      </c>
    </row>
    <row r="686" spans="1:5" x14ac:dyDescent="0.3">
      <c r="A686" t="s">
        <v>4</v>
      </c>
      <c r="B686" s="1" t="s">
        <v>13</v>
      </c>
      <c r="C686" t="s">
        <v>12</v>
      </c>
      <c r="D686" t="s">
        <v>9</v>
      </c>
      <c r="E686" t="s">
        <v>18</v>
      </c>
    </row>
    <row r="687" spans="1:5" x14ac:dyDescent="0.3">
      <c r="A687" t="s">
        <v>4</v>
      </c>
      <c r="B687" s="1" t="s">
        <v>13</v>
      </c>
      <c r="C687" t="s">
        <v>12</v>
      </c>
      <c r="D687" t="s">
        <v>5</v>
      </c>
      <c r="E687" t="s">
        <v>18</v>
      </c>
    </row>
    <row r="688" spans="1:5" x14ac:dyDescent="0.3">
      <c r="A688" t="s">
        <v>4</v>
      </c>
      <c r="B688" s="1" t="s">
        <v>13</v>
      </c>
      <c r="C688" t="s">
        <v>11</v>
      </c>
      <c r="D688" t="s">
        <v>6</v>
      </c>
      <c r="E688" t="s">
        <v>18</v>
      </c>
    </row>
    <row r="689" spans="1:5" x14ac:dyDescent="0.3">
      <c r="A689" t="s">
        <v>4</v>
      </c>
      <c r="B689" s="1" t="s">
        <v>13</v>
      </c>
      <c r="C689" t="s">
        <v>11</v>
      </c>
      <c r="D689" t="s">
        <v>7</v>
      </c>
      <c r="E689" t="s">
        <v>18</v>
      </c>
    </row>
    <row r="690" spans="1:5" x14ac:dyDescent="0.3">
      <c r="A690" t="s">
        <v>4</v>
      </c>
      <c r="B690" s="1" t="s">
        <v>13</v>
      </c>
      <c r="C690" t="s">
        <v>12</v>
      </c>
      <c r="D690" t="s">
        <v>8</v>
      </c>
      <c r="E690" t="s">
        <v>18</v>
      </c>
    </row>
    <row r="691" spans="1:5" x14ac:dyDescent="0.3">
      <c r="A691" t="s">
        <v>4</v>
      </c>
      <c r="B691" s="1" t="s">
        <v>13</v>
      </c>
      <c r="C691" t="s">
        <v>12</v>
      </c>
      <c r="D691" t="s">
        <v>9</v>
      </c>
      <c r="E691" t="s">
        <v>18</v>
      </c>
    </row>
    <row r="692" spans="1:5" x14ac:dyDescent="0.3">
      <c r="A692" t="s">
        <v>4</v>
      </c>
      <c r="B692" s="1" t="s">
        <v>13</v>
      </c>
      <c r="C692" t="s">
        <v>12</v>
      </c>
      <c r="D692" t="s">
        <v>5</v>
      </c>
      <c r="E692" t="s">
        <v>18</v>
      </c>
    </row>
    <row r="693" spans="1:5" x14ac:dyDescent="0.3">
      <c r="A693" t="s">
        <v>4</v>
      </c>
      <c r="B693" s="1" t="s">
        <v>13</v>
      </c>
      <c r="C693" t="s">
        <v>11</v>
      </c>
      <c r="D693" t="s">
        <v>6</v>
      </c>
      <c r="E693" t="s">
        <v>18</v>
      </c>
    </row>
    <row r="694" spans="1:5" x14ac:dyDescent="0.3">
      <c r="A694" t="s">
        <v>4</v>
      </c>
      <c r="B694" s="1" t="s">
        <v>13</v>
      </c>
      <c r="C694" t="s">
        <v>12</v>
      </c>
      <c r="D694" t="s">
        <v>7</v>
      </c>
      <c r="E694" t="s">
        <v>18</v>
      </c>
    </row>
    <row r="695" spans="1:5" x14ac:dyDescent="0.3">
      <c r="A695" t="s">
        <v>4</v>
      </c>
      <c r="B695" s="1" t="s">
        <v>13</v>
      </c>
      <c r="C695" t="s">
        <v>12</v>
      </c>
      <c r="D695" t="s">
        <v>8</v>
      </c>
      <c r="E695" t="s">
        <v>18</v>
      </c>
    </row>
    <row r="696" spans="1:5" x14ac:dyDescent="0.3">
      <c r="A696" t="s">
        <v>4</v>
      </c>
      <c r="B696" s="1" t="s">
        <v>13</v>
      </c>
      <c r="C696" t="s">
        <v>12</v>
      </c>
      <c r="D696" t="s">
        <v>9</v>
      </c>
      <c r="E696" t="s">
        <v>18</v>
      </c>
    </row>
    <row r="697" spans="1:5" x14ac:dyDescent="0.3">
      <c r="A697" t="s">
        <v>4</v>
      </c>
      <c r="B697" s="1" t="s">
        <v>13</v>
      </c>
      <c r="C697" t="s">
        <v>12</v>
      </c>
      <c r="D697" t="s">
        <v>5</v>
      </c>
      <c r="E697" t="s">
        <v>18</v>
      </c>
    </row>
    <row r="698" spans="1:5" x14ac:dyDescent="0.3">
      <c r="A698" t="s">
        <v>4</v>
      </c>
      <c r="B698" s="1" t="s">
        <v>13</v>
      </c>
      <c r="C698" t="s">
        <v>11</v>
      </c>
      <c r="D698" t="s">
        <v>6</v>
      </c>
      <c r="E698" t="s">
        <v>18</v>
      </c>
    </row>
    <row r="699" spans="1:5" x14ac:dyDescent="0.3">
      <c r="A699" t="s">
        <v>4</v>
      </c>
      <c r="B699" s="1" t="s">
        <v>13</v>
      </c>
      <c r="C699" t="s">
        <v>11</v>
      </c>
      <c r="D699" t="s">
        <v>7</v>
      </c>
      <c r="E699" t="s">
        <v>18</v>
      </c>
    </row>
    <row r="700" spans="1:5" x14ac:dyDescent="0.3">
      <c r="A700" t="s">
        <v>4</v>
      </c>
      <c r="B700" s="1" t="s">
        <v>13</v>
      </c>
      <c r="C700" t="s">
        <v>12</v>
      </c>
      <c r="D700" t="s">
        <v>8</v>
      </c>
      <c r="E700" t="s">
        <v>18</v>
      </c>
    </row>
    <row r="701" spans="1:5" x14ac:dyDescent="0.3">
      <c r="A701" t="s">
        <v>4</v>
      </c>
      <c r="B701" s="1" t="s">
        <v>13</v>
      </c>
      <c r="C701" t="s">
        <v>12</v>
      </c>
      <c r="D701" t="s">
        <v>9</v>
      </c>
      <c r="E701" t="s">
        <v>18</v>
      </c>
    </row>
    <row r="702" spans="1:5" x14ac:dyDescent="0.3">
      <c r="A702" t="s">
        <v>4</v>
      </c>
      <c r="B702" s="1" t="s">
        <v>13</v>
      </c>
      <c r="C702" t="s">
        <v>12</v>
      </c>
      <c r="D702" t="s">
        <v>5</v>
      </c>
      <c r="E702" t="s">
        <v>18</v>
      </c>
    </row>
    <row r="703" spans="1:5" x14ac:dyDescent="0.3">
      <c r="A703" t="s">
        <v>4</v>
      </c>
      <c r="B703" s="1" t="s">
        <v>13</v>
      </c>
      <c r="C703" t="s">
        <v>11</v>
      </c>
      <c r="D703" t="s">
        <v>6</v>
      </c>
      <c r="E703" t="s">
        <v>18</v>
      </c>
    </row>
    <row r="704" spans="1:5" x14ac:dyDescent="0.3">
      <c r="A704" t="s">
        <v>4</v>
      </c>
      <c r="B704" s="1" t="s">
        <v>13</v>
      </c>
      <c r="C704" t="s">
        <v>12</v>
      </c>
      <c r="D704" t="s">
        <v>7</v>
      </c>
      <c r="E704" t="s">
        <v>18</v>
      </c>
    </row>
    <row r="705" spans="1:5" x14ac:dyDescent="0.3">
      <c r="A705" t="s">
        <v>4</v>
      </c>
      <c r="B705" s="1" t="s">
        <v>13</v>
      </c>
      <c r="C705" t="s">
        <v>12</v>
      </c>
      <c r="D705" t="s">
        <v>8</v>
      </c>
      <c r="E705" t="s">
        <v>18</v>
      </c>
    </row>
    <row r="706" spans="1:5" x14ac:dyDescent="0.3">
      <c r="A706" t="s">
        <v>4</v>
      </c>
      <c r="B706" s="1" t="s">
        <v>13</v>
      </c>
      <c r="C706" t="s">
        <v>12</v>
      </c>
      <c r="D706" t="s">
        <v>9</v>
      </c>
      <c r="E706" t="s">
        <v>18</v>
      </c>
    </row>
    <row r="707" spans="1:5" x14ac:dyDescent="0.3">
      <c r="A707" t="s">
        <v>4</v>
      </c>
      <c r="B707" s="1" t="s">
        <v>13</v>
      </c>
      <c r="C707" t="s">
        <v>12</v>
      </c>
      <c r="D707" t="s">
        <v>5</v>
      </c>
      <c r="E707" t="s">
        <v>18</v>
      </c>
    </row>
    <row r="708" spans="1:5" x14ac:dyDescent="0.3">
      <c r="A708" t="s">
        <v>4</v>
      </c>
      <c r="B708" s="1" t="s">
        <v>13</v>
      </c>
      <c r="C708" t="s">
        <v>11</v>
      </c>
      <c r="D708" t="s">
        <v>6</v>
      </c>
      <c r="E708" t="s">
        <v>18</v>
      </c>
    </row>
    <row r="709" spans="1:5" x14ac:dyDescent="0.3">
      <c r="A709" t="s">
        <v>4</v>
      </c>
      <c r="B709" s="1" t="s">
        <v>13</v>
      </c>
      <c r="C709" t="s">
        <v>11</v>
      </c>
      <c r="D709" t="s">
        <v>7</v>
      </c>
      <c r="E709" t="s">
        <v>18</v>
      </c>
    </row>
    <row r="710" spans="1:5" x14ac:dyDescent="0.3">
      <c r="A710" t="s">
        <v>4</v>
      </c>
      <c r="B710" s="1" t="s">
        <v>13</v>
      </c>
      <c r="C710" t="s">
        <v>12</v>
      </c>
      <c r="D710" t="s">
        <v>8</v>
      </c>
      <c r="E710" t="s">
        <v>18</v>
      </c>
    </row>
    <row r="711" spans="1:5" x14ac:dyDescent="0.3">
      <c r="A711" t="s">
        <v>4</v>
      </c>
      <c r="B711" s="1" t="s">
        <v>13</v>
      </c>
      <c r="C711" t="s">
        <v>12</v>
      </c>
      <c r="D711" t="s">
        <v>9</v>
      </c>
      <c r="E711" t="s">
        <v>18</v>
      </c>
    </row>
    <row r="712" spans="1:5" x14ac:dyDescent="0.3">
      <c r="A712" t="s">
        <v>4</v>
      </c>
      <c r="B712" s="1" t="s">
        <v>13</v>
      </c>
      <c r="C712" t="s">
        <v>12</v>
      </c>
      <c r="D712" t="s">
        <v>5</v>
      </c>
      <c r="E712" t="s">
        <v>18</v>
      </c>
    </row>
    <row r="713" spans="1:5" x14ac:dyDescent="0.3">
      <c r="A713" t="s">
        <v>4</v>
      </c>
      <c r="B713" s="1" t="s">
        <v>13</v>
      </c>
      <c r="C713" t="s">
        <v>11</v>
      </c>
      <c r="D713" t="s">
        <v>6</v>
      </c>
      <c r="E713" t="s">
        <v>18</v>
      </c>
    </row>
    <row r="714" spans="1:5" x14ac:dyDescent="0.3">
      <c r="A714" t="s">
        <v>4</v>
      </c>
      <c r="B714" s="1" t="s">
        <v>13</v>
      </c>
      <c r="C714" t="s">
        <v>11</v>
      </c>
      <c r="D714" t="s">
        <v>7</v>
      </c>
      <c r="E714" t="s">
        <v>18</v>
      </c>
    </row>
    <row r="715" spans="1:5" x14ac:dyDescent="0.3">
      <c r="A715" t="s">
        <v>4</v>
      </c>
      <c r="B715" s="1" t="s">
        <v>13</v>
      </c>
      <c r="C715" t="s">
        <v>12</v>
      </c>
      <c r="D715" t="s">
        <v>8</v>
      </c>
      <c r="E715" t="s">
        <v>18</v>
      </c>
    </row>
    <row r="716" spans="1:5" x14ac:dyDescent="0.3">
      <c r="A716" t="s">
        <v>4</v>
      </c>
      <c r="B716" s="1" t="s">
        <v>13</v>
      </c>
      <c r="C716" t="s">
        <v>12</v>
      </c>
      <c r="D716" t="s">
        <v>9</v>
      </c>
      <c r="E716" t="s">
        <v>18</v>
      </c>
    </row>
    <row r="717" spans="1:5" x14ac:dyDescent="0.3">
      <c r="A717" t="s">
        <v>4</v>
      </c>
      <c r="B717" s="1" t="s">
        <v>13</v>
      </c>
      <c r="C717" t="s">
        <v>12</v>
      </c>
      <c r="D717" t="s">
        <v>5</v>
      </c>
      <c r="E717" t="s">
        <v>18</v>
      </c>
    </row>
    <row r="718" spans="1:5" x14ac:dyDescent="0.3">
      <c r="A718" t="s">
        <v>4</v>
      </c>
      <c r="B718" s="1" t="s">
        <v>13</v>
      </c>
      <c r="C718" t="s">
        <v>11</v>
      </c>
      <c r="D718" t="s">
        <v>6</v>
      </c>
      <c r="E718" t="s">
        <v>18</v>
      </c>
    </row>
    <row r="719" spans="1:5" x14ac:dyDescent="0.3">
      <c r="A719" t="s">
        <v>4</v>
      </c>
      <c r="B719" s="1" t="s">
        <v>13</v>
      </c>
      <c r="C719" t="s">
        <v>12</v>
      </c>
      <c r="D719" t="s">
        <v>7</v>
      </c>
      <c r="E719" t="s">
        <v>18</v>
      </c>
    </row>
    <row r="720" spans="1:5" x14ac:dyDescent="0.3">
      <c r="A720" t="s">
        <v>4</v>
      </c>
      <c r="B720" s="1" t="s">
        <v>13</v>
      </c>
      <c r="C720" t="s">
        <v>12</v>
      </c>
      <c r="D720" t="s">
        <v>8</v>
      </c>
      <c r="E720" t="s">
        <v>18</v>
      </c>
    </row>
    <row r="721" spans="1:5" x14ac:dyDescent="0.3">
      <c r="A721" t="s">
        <v>4</v>
      </c>
      <c r="B721" s="1" t="s">
        <v>13</v>
      </c>
      <c r="C721" t="s">
        <v>12</v>
      </c>
      <c r="D721" t="s">
        <v>9</v>
      </c>
      <c r="E721" t="s">
        <v>18</v>
      </c>
    </row>
    <row r="722" spans="1:5" x14ac:dyDescent="0.3">
      <c r="A722" t="s">
        <v>4</v>
      </c>
      <c r="B722" s="1" t="s">
        <v>13</v>
      </c>
      <c r="C722" t="s">
        <v>12</v>
      </c>
      <c r="D722" t="s">
        <v>5</v>
      </c>
      <c r="E722" t="s">
        <v>18</v>
      </c>
    </row>
    <row r="723" spans="1:5" x14ac:dyDescent="0.3">
      <c r="A723" t="s">
        <v>4</v>
      </c>
      <c r="B723" s="1" t="s">
        <v>13</v>
      </c>
      <c r="C723" t="s">
        <v>11</v>
      </c>
      <c r="D723" t="s">
        <v>6</v>
      </c>
      <c r="E723" t="s">
        <v>18</v>
      </c>
    </row>
    <row r="724" spans="1:5" x14ac:dyDescent="0.3">
      <c r="A724" t="s">
        <v>4</v>
      </c>
      <c r="B724" s="1" t="s">
        <v>13</v>
      </c>
      <c r="C724" t="s">
        <v>12</v>
      </c>
      <c r="D724" t="s">
        <v>7</v>
      </c>
      <c r="E724" t="s">
        <v>18</v>
      </c>
    </row>
    <row r="725" spans="1:5" x14ac:dyDescent="0.3">
      <c r="A725" t="s">
        <v>4</v>
      </c>
      <c r="B725" s="1" t="s">
        <v>13</v>
      </c>
      <c r="C725" t="s">
        <v>12</v>
      </c>
      <c r="D725" t="s">
        <v>8</v>
      </c>
      <c r="E725" t="s">
        <v>18</v>
      </c>
    </row>
    <row r="726" spans="1:5" x14ac:dyDescent="0.3">
      <c r="A726" t="s">
        <v>4</v>
      </c>
      <c r="B726" s="1" t="s">
        <v>13</v>
      </c>
      <c r="C726" t="s">
        <v>12</v>
      </c>
      <c r="D726" t="s">
        <v>9</v>
      </c>
      <c r="E726" t="s">
        <v>18</v>
      </c>
    </row>
    <row r="727" spans="1:5" x14ac:dyDescent="0.3">
      <c r="A727" t="s">
        <v>4</v>
      </c>
      <c r="B727" s="1" t="s">
        <v>13</v>
      </c>
      <c r="C727" t="s">
        <v>12</v>
      </c>
      <c r="D727" t="s">
        <v>5</v>
      </c>
      <c r="E727" t="s">
        <v>18</v>
      </c>
    </row>
    <row r="728" spans="1:5" x14ac:dyDescent="0.3">
      <c r="A728" t="s">
        <v>4</v>
      </c>
      <c r="B728" s="1" t="s">
        <v>13</v>
      </c>
      <c r="C728" t="s">
        <v>11</v>
      </c>
      <c r="D728" t="s">
        <v>6</v>
      </c>
      <c r="E728" t="s">
        <v>18</v>
      </c>
    </row>
    <row r="729" spans="1:5" x14ac:dyDescent="0.3">
      <c r="A729" t="s">
        <v>4</v>
      </c>
      <c r="B729" s="1" t="s">
        <v>13</v>
      </c>
      <c r="C729" t="s">
        <v>11</v>
      </c>
      <c r="D729" t="s">
        <v>7</v>
      </c>
      <c r="E729" t="s">
        <v>18</v>
      </c>
    </row>
    <row r="730" spans="1:5" x14ac:dyDescent="0.3">
      <c r="A730" t="s">
        <v>4</v>
      </c>
      <c r="B730" s="1" t="s">
        <v>13</v>
      </c>
      <c r="C730" t="s">
        <v>12</v>
      </c>
      <c r="D730" t="s">
        <v>8</v>
      </c>
      <c r="E730" t="s">
        <v>18</v>
      </c>
    </row>
    <row r="731" spans="1:5" x14ac:dyDescent="0.3">
      <c r="A731" t="s">
        <v>4</v>
      </c>
      <c r="B731" s="1" t="s">
        <v>13</v>
      </c>
      <c r="C731" t="s">
        <v>12</v>
      </c>
      <c r="D731" t="s">
        <v>9</v>
      </c>
      <c r="E731" t="s">
        <v>18</v>
      </c>
    </row>
    <row r="732" spans="1:5" x14ac:dyDescent="0.3">
      <c r="A732" t="s">
        <v>4</v>
      </c>
      <c r="B732" s="1" t="s">
        <v>13</v>
      </c>
      <c r="C732" t="s">
        <v>12</v>
      </c>
      <c r="D732" t="s">
        <v>5</v>
      </c>
      <c r="E732" t="s">
        <v>18</v>
      </c>
    </row>
    <row r="733" spans="1:5" x14ac:dyDescent="0.3">
      <c r="A733" t="s">
        <v>4</v>
      </c>
      <c r="B733" s="1" t="s">
        <v>13</v>
      </c>
      <c r="C733" t="s">
        <v>11</v>
      </c>
      <c r="D733" t="s">
        <v>6</v>
      </c>
      <c r="E733" t="s">
        <v>18</v>
      </c>
    </row>
    <row r="734" spans="1:5" x14ac:dyDescent="0.3">
      <c r="A734" t="s">
        <v>4</v>
      </c>
      <c r="B734" s="1" t="s">
        <v>13</v>
      </c>
      <c r="C734" t="s">
        <v>11</v>
      </c>
      <c r="D734" t="s">
        <v>7</v>
      </c>
      <c r="E734" t="s">
        <v>18</v>
      </c>
    </row>
    <row r="735" spans="1:5" x14ac:dyDescent="0.3">
      <c r="A735" t="s">
        <v>4</v>
      </c>
      <c r="B735" s="1" t="s">
        <v>13</v>
      </c>
      <c r="C735" t="s">
        <v>11</v>
      </c>
      <c r="D735" t="s">
        <v>8</v>
      </c>
      <c r="E735" t="s">
        <v>18</v>
      </c>
    </row>
    <row r="736" spans="1:5" x14ac:dyDescent="0.3">
      <c r="A736" t="s">
        <v>4</v>
      </c>
      <c r="B736" s="1" t="s">
        <v>13</v>
      </c>
      <c r="C736" t="s">
        <v>11</v>
      </c>
      <c r="D736" t="s">
        <v>9</v>
      </c>
      <c r="E736" t="s">
        <v>18</v>
      </c>
    </row>
    <row r="737" spans="1:5" x14ac:dyDescent="0.3">
      <c r="A737" t="s">
        <v>4</v>
      </c>
      <c r="B737" s="1" t="s">
        <v>13</v>
      </c>
      <c r="C737" t="s">
        <v>12</v>
      </c>
      <c r="D737" t="s">
        <v>5</v>
      </c>
      <c r="E737" t="s">
        <v>18</v>
      </c>
    </row>
    <row r="738" spans="1:5" x14ac:dyDescent="0.3">
      <c r="A738" t="s">
        <v>4</v>
      </c>
      <c r="B738" s="1" t="s">
        <v>13</v>
      </c>
      <c r="C738" t="s">
        <v>11</v>
      </c>
      <c r="D738" t="s">
        <v>6</v>
      </c>
      <c r="E738" t="s">
        <v>18</v>
      </c>
    </row>
    <row r="739" spans="1:5" x14ac:dyDescent="0.3">
      <c r="A739" t="s">
        <v>4</v>
      </c>
      <c r="B739" s="1" t="s">
        <v>13</v>
      </c>
      <c r="C739" t="s">
        <v>12</v>
      </c>
      <c r="D739" t="s">
        <v>7</v>
      </c>
      <c r="E739" t="s">
        <v>18</v>
      </c>
    </row>
    <row r="740" spans="1:5" x14ac:dyDescent="0.3">
      <c r="A740" t="s">
        <v>4</v>
      </c>
      <c r="B740" s="1" t="s">
        <v>13</v>
      </c>
      <c r="C740" t="s">
        <v>12</v>
      </c>
      <c r="D740" t="s">
        <v>8</v>
      </c>
      <c r="E740" t="s">
        <v>18</v>
      </c>
    </row>
    <row r="741" spans="1:5" x14ac:dyDescent="0.3">
      <c r="A741" t="s">
        <v>4</v>
      </c>
      <c r="B741" s="1" t="s">
        <v>13</v>
      </c>
      <c r="C741" t="s">
        <v>12</v>
      </c>
      <c r="D741" t="s">
        <v>9</v>
      </c>
      <c r="E741" t="s">
        <v>18</v>
      </c>
    </row>
    <row r="742" spans="1:5" x14ac:dyDescent="0.3">
      <c r="A742" t="s">
        <v>4</v>
      </c>
      <c r="B742" s="1" t="s">
        <v>13</v>
      </c>
      <c r="C742" t="s">
        <v>12</v>
      </c>
      <c r="D742" t="s">
        <v>5</v>
      </c>
      <c r="E742" t="s">
        <v>18</v>
      </c>
    </row>
    <row r="743" spans="1:5" x14ac:dyDescent="0.3">
      <c r="A743" t="s">
        <v>4</v>
      </c>
      <c r="B743" s="1" t="s">
        <v>13</v>
      </c>
      <c r="C743" t="s">
        <v>11</v>
      </c>
      <c r="D743" t="s">
        <v>6</v>
      </c>
      <c r="E743" t="s">
        <v>18</v>
      </c>
    </row>
    <row r="744" spans="1:5" x14ac:dyDescent="0.3">
      <c r="A744" t="s">
        <v>4</v>
      </c>
      <c r="B744" s="1" t="s">
        <v>13</v>
      </c>
      <c r="C744" t="s">
        <v>12</v>
      </c>
      <c r="D744" t="s">
        <v>7</v>
      </c>
      <c r="E744" t="s">
        <v>18</v>
      </c>
    </row>
    <row r="745" spans="1:5" x14ac:dyDescent="0.3">
      <c r="A745" t="s">
        <v>4</v>
      </c>
      <c r="B745" s="1" t="s">
        <v>13</v>
      </c>
      <c r="C745" t="s">
        <v>11</v>
      </c>
      <c r="D745" t="s">
        <v>8</v>
      </c>
      <c r="E745" t="s">
        <v>18</v>
      </c>
    </row>
    <row r="746" spans="1:5" x14ac:dyDescent="0.3">
      <c r="A746" t="s">
        <v>4</v>
      </c>
      <c r="B746" s="1" t="s">
        <v>13</v>
      </c>
      <c r="C746" t="s">
        <v>11</v>
      </c>
      <c r="D746" t="s">
        <v>9</v>
      </c>
      <c r="E746" t="s">
        <v>18</v>
      </c>
    </row>
    <row r="747" spans="1:5" x14ac:dyDescent="0.3">
      <c r="A747" t="s">
        <v>4</v>
      </c>
      <c r="B747" s="1" t="s">
        <v>13</v>
      </c>
      <c r="C747" t="s">
        <v>12</v>
      </c>
      <c r="D747" t="s">
        <v>5</v>
      </c>
      <c r="E747" t="s">
        <v>18</v>
      </c>
    </row>
    <row r="748" spans="1:5" x14ac:dyDescent="0.3">
      <c r="A748" t="s">
        <v>4</v>
      </c>
      <c r="B748" s="1" t="s">
        <v>13</v>
      </c>
      <c r="C748" t="s">
        <v>11</v>
      </c>
      <c r="D748" t="s">
        <v>6</v>
      </c>
      <c r="E748" t="s">
        <v>18</v>
      </c>
    </row>
    <row r="749" spans="1:5" x14ac:dyDescent="0.3">
      <c r="A749" t="s">
        <v>4</v>
      </c>
      <c r="B749" s="1" t="s">
        <v>13</v>
      </c>
      <c r="C749" t="s">
        <v>12</v>
      </c>
      <c r="D749" t="s">
        <v>7</v>
      </c>
      <c r="E749" t="s">
        <v>18</v>
      </c>
    </row>
    <row r="750" spans="1:5" x14ac:dyDescent="0.3">
      <c r="A750" t="s">
        <v>4</v>
      </c>
      <c r="B750" s="1" t="s">
        <v>13</v>
      </c>
      <c r="C750" t="s">
        <v>12</v>
      </c>
      <c r="D750" t="s">
        <v>8</v>
      </c>
      <c r="E750" t="s">
        <v>18</v>
      </c>
    </row>
    <row r="751" spans="1:5" x14ac:dyDescent="0.3">
      <c r="A751" t="s">
        <v>4</v>
      </c>
      <c r="B751" s="1" t="s">
        <v>13</v>
      </c>
      <c r="C751" t="s">
        <v>12</v>
      </c>
      <c r="D751" t="s">
        <v>9</v>
      </c>
      <c r="E751" t="s">
        <v>18</v>
      </c>
    </row>
    <row r="752" spans="1:5" x14ac:dyDescent="0.3">
      <c r="A752" t="s">
        <v>4</v>
      </c>
      <c r="B752" s="1" t="s">
        <v>13</v>
      </c>
      <c r="C752" t="s">
        <v>12</v>
      </c>
      <c r="D752" t="s">
        <v>5</v>
      </c>
      <c r="E752" t="s">
        <v>18</v>
      </c>
    </row>
    <row r="753" spans="1:5" x14ac:dyDescent="0.3">
      <c r="A753" t="s">
        <v>4</v>
      </c>
      <c r="B753" s="1" t="s">
        <v>13</v>
      </c>
      <c r="C753" t="s">
        <v>11</v>
      </c>
      <c r="D753" t="s">
        <v>6</v>
      </c>
      <c r="E753" t="s">
        <v>18</v>
      </c>
    </row>
    <row r="754" spans="1:5" x14ac:dyDescent="0.3">
      <c r="A754" t="s">
        <v>4</v>
      </c>
      <c r="B754" s="1" t="s">
        <v>13</v>
      </c>
      <c r="C754" t="s">
        <v>12</v>
      </c>
      <c r="D754" t="s">
        <v>7</v>
      </c>
      <c r="E754" t="s">
        <v>18</v>
      </c>
    </row>
    <row r="755" spans="1:5" x14ac:dyDescent="0.3">
      <c r="A755" t="s">
        <v>4</v>
      </c>
      <c r="B755" s="1" t="s">
        <v>13</v>
      </c>
      <c r="C755" t="s">
        <v>12</v>
      </c>
      <c r="D755" t="s">
        <v>8</v>
      </c>
      <c r="E755" t="s">
        <v>18</v>
      </c>
    </row>
    <row r="756" spans="1:5" x14ac:dyDescent="0.3">
      <c r="A756" t="s">
        <v>4</v>
      </c>
      <c r="B756" s="1" t="s">
        <v>13</v>
      </c>
      <c r="C756" t="s">
        <v>12</v>
      </c>
      <c r="D756" t="s">
        <v>9</v>
      </c>
      <c r="E756" t="s">
        <v>18</v>
      </c>
    </row>
    <row r="757" spans="1:5" x14ac:dyDescent="0.3">
      <c r="A757" t="s">
        <v>4</v>
      </c>
      <c r="B757" s="1" t="s">
        <v>13</v>
      </c>
      <c r="C757" t="s">
        <v>12</v>
      </c>
      <c r="D757" t="s">
        <v>5</v>
      </c>
      <c r="E757" t="s">
        <v>18</v>
      </c>
    </row>
    <row r="758" spans="1:5" x14ac:dyDescent="0.3">
      <c r="A758" t="s">
        <v>4</v>
      </c>
      <c r="B758" s="1" t="s">
        <v>13</v>
      </c>
      <c r="C758" t="s">
        <v>11</v>
      </c>
      <c r="D758" t="s">
        <v>6</v>
      </c>
      <c r="E758" t="s">
        <v>18</v>
      </c>
    </row>
    <row r="759" spans="1:5" x14ac:dyDescent="0.3">
      <c r="A759" t="s">
        <v>4</v>
      </c>
      <c r="B759" s="1" t="s">
        <v>13</v>
      </c>
      <c r="C759" t="s">
        <v>12</v>
      </c>
      <c r="D759" t="s">
        <v>7</v>
      </c>
      <c r="E759" t="s">
        <v>18</v>
      </c>
    </row>
    <row r="760" spans="1:5" x14ac:dyDescent="0.3">
      <c r="A760" t="s">
        <v>4</v>
      </c>
      <c r="B760" s="1" t="s">
        <v>13</v>
      </c>
      <c r="C760" t="s">
        <v>12</v>
      </c>
      <c r="D760" t="s">
        <v>8</v>
      </c>
      <c r="E760" t="s">
        <v>18</v>
      </c>
    </row>
    <row r="761" spans="1:5" x14ac:dyDescent="0.3">
      <c r="A761" t="s">
        <v>4</v>
      </c>
      <c r="B761" s="1" t="s">
        <v>13</v>
      </c>
      <c r="C761" t="s">
        <v>12</v>
      </c>
      <c r="D761" t="s">
        <v>9</v>
      </c>
      <c r="E761" t="s">
        <v>18</v>
      </c>
    </row>
    <row r="762" spans="1:5" x14ac:dyDescent="0.3">
      <c r="A762" t="s">
        <v>4</v>
      </c>
      <c r="B762" s="1" t="s">
        <v>13</v>
      </c>
      <c r="C762" t="s">
        <v>12</v>
      </c>
      <c r="D762" t="s">
        <v>5</v>
      </c>
      <c r="E762" t="s">
        <v>18</v>
      </c>
    </row>
    <row r="763" spans="1:5" x14ac:dyDescent="0.3">
      <c r="A763" t="s">
        <v>4</v>
      </c>
      <c r="B763" s="1" t="s">
        <v>13</v>
      </c>
      <c r="C763" t="s">
        <v>11</v>
      </c>
      <c r="D763" t="s">
        <v>6</v>
      </c>
      <c r="E763" t="s">
        <v>18</v>
      </c>
    </row>
    <row r="764" spans="1:5" x14ac:dyDescent="0.3">
      <c r="A764" t="s">
        <v>4</v>
      </c>
      <c r="B764" s="1" t="s">
        <v>13</v>
      </c>
      <c r="C764" t="s">
        <v>12</v>
      </c>
      <c r="D764" t="s">
        <v>7</v>
      </c>
      <c r="E764" t="s">
        <v>18</v>
      </c>
    </row>
    <row r="765" spans="1:5" x14ac:dyDescent="0.3">
      <c r="A765" t="s">
        <v>4</v>
      </c>
      <c r="B765" s="1" t="s">
        <v>13</v>
      </c>
      <c r="C765" t="s">
        <v>12</v>
      </c>
      <c r="D765" t="s">
        <v>8</v>
      </c>
      <c r="E765" t="s">
        <v>18</v>
      </c>
    </row>
    <row r="766" spans="1:5" x14ac:dyDescent="0.3">
      <c r="A766" t="s">
        <v>4</v>
      </c>
      <c r="B766" s="1" t="s">
        <v>13</v>
      </c>
      <c r="C766" t="s">
        <v>12</v>
      </c>
      <c r="D766" t="s">
        <v>9</v>
      </c>
      <c r="E766" t="s">
        <v>18</v>
      </c>
    </row>
    <row r="767" spans="1:5" x14ac:dyDescent="0.3">
      <c r="A767" t="s">
        <v>4</v>
      </c>
      <c r="B767" s="1" t="s">
        <v>13</v>
      </c>
      <c r="C767" t="s">
        <v>12</v>
      </c>
      <c r="D767" t="s">
        <v>5</v>
      </c>
      <c r="E767" t="s">
        <v>18</v>
      </c>
    </row>
    <row r="768" spans="1:5" x14ac:dyDescent="0.3">
      <c r="A768" t="s">
        <v>4</v>
      </c>
      <c r="B768" s="1" t="s">
        <v>13</v>
      </c>
      <c r="C768" t="s">
        <v>11</v>
      </c>
      <c r="D768" t="s">
        <v>6</v>
      </c>
      <c r="E768" t="s">
        <v>18</v>
      </c>
    </row>
    <row r="769" spans="1:5" x14ac:dyDescent="0.3">
      <c r="A769" t="s">
        <v>4</v>
      </c>
      <c r="B769" s="1" t="s">
        <v>13</v>
      </c>
      <c r="C769" t="s">
        <v>12</v>
      </c>
      <c r="D769" t="s">
        <v>7</v>
      </c>
      <c r="E769" t="s">
        <v>18</v>
      </c>
    </row>
    <row r="770" spans="1:5" x14ac:dyDescent="0.3">
      <c r="A770" t="s">
        <v>4</v>
      </c>
      <c r="B770" s="1" t="s">
        <v>13</v>
      </c>
      <c r="C770" t="s">
        <v>12</v>
      </c>
      <c r="D770" t="s">
        <v>8</v>
      </c>
      <c r="E770" t="s">
        <v>18</v>
      </c>
    </row>
    <row r="771" spans="1:5" x14ac:dyDescent="0.3">
      <c r="A771" t="s">
        <v>4</v>
      </c>
      <c r="B771" s="1" t="s">
        <v>13</v>
      </c>
      <c r="C771" t="s">
        <v>12</v>
      </c>
      <c r="D771" t="s">
        <v>9</v>
      </c>
      <c r="E771" t="s">
        <v>18</v>
      </c>
    </row>
    <row r="772" spans="1:5" x14ac:dyDescent="0.3">
      <c r="A772" t="s">
        <v>4</v>
      </c>
      <c r="B772" s="1" t="s">
        <v>13</v>
      </c>
      <c r="C772" t="s">
        <v>12</v>
      </c>
      <c r="D772" t="s">
        <v>5</v>
      </c>
      <c r="E772" t="s">
        <v>18</v>
      </c>
    </row>
    <row r="773" spans="1:5" x14ac:dyDescent="0.3">
      <c r="A773" t="s">
        <v>4</v>
      </c>
      <c r="B773" s="1" t="s">
        <v>13</v>
      </c>
      <c r="C773" t="s">
        <v>11</v>
      </c>
      <c r="D773" t="s">
        <v>6</v>
      </c>
      <c r="E773" t="s">
        <v>18</v>
      </c>
    </row>
    <row r="774" spans="1:5" x14ac:dyDescent="0.3">
      <c r="A774" t="s">
        <v>4</v>
      </c>
      <c r="B774" s="1" t="s">
        <v>13</v>
      </c>
      <c r="C774" t="s">
        <v>11</v>
      </c>
      <c r="D774" t="s">
        <v>7</v>
      </c>
      <c r="E774" t="s">
        <v>18</v>
      </c>
    </row>
    <row r="775" spans="1:5" x14ac:dyDescent="0.3">
      <c r="A775" t="s">
        <v>4</v>
      </c>
      <c r="B775" s="1" t="s">
        <v>13</v>
      </c>
      <c r="C775" t="s">
        <v>12</v>
      </c>
      <c r="D775" t="s">
        <v>8</v>
      </c>
      <c r="E775" t="s">
        <v>18</v>
      </c>
    </row>
    <row r="776" spans="1:5" x14ac:dyDescent="0.3">
      <c r="A776" t="s">
        <v>4</v>
      </c>
      <c r="B776" s="1" t="s">
        <v>13</v>
      </c>
      <c r="C776" t="s">
        <v>12</v>
      </c>
      <c r="D776" t="s">
        <v>9</v>
      </c>
      <c r="E776" t="s">
        <v>18</v>
      </c>
    </row>
    <row r="777" spans="1:5" x14ac:dyDescent="0.3">
      <c r="A777" t="s">
        <v>4</v>
      </c>
      <c r="B777" s="1" t="s">
        <v>13</v>
      </c>
      <c r="C777" t="s">
        <v>12</v>
      </c>
      <c r="D777" t="s">
        <v>5</v>
      </c>
      <c r="E777" t="s">
        <v>18</v>
      </c>
    </row>
    <row r="778" spans="1:5" x14ac:dyDescent="0.3">
      <c r="A778" t="s">
        <v>4</v>
      </c>
      <c r="B778" s="1" t="s">
        <v>13</v>
      </c>
      <c r="C778" t="s">
        <v>11</v>
      </c>
      <c r="D778" t="s">
        <v>6</v>
      </c>
      <c r="E778" t="s">
        <v>18</v>
      </c>
    </row>
    <row r="779" spans="1:5" x14ac:dyDescent="0.3">
      <c r="A779" t="s">
        <v>4</v>
      </c>
      <c r="B779" s="1" t="s">
        <v>13</v>
      </c>
      <c r="C779" t="s">
        <v>12</v>
      </c>
      <c r="D779" t="s">
        <v>7</v>
      </c>
      <c r="E779" t="s">
        <v>18</v>
      </c>
    </row>
    <row r="780" spans="1:5" x14ac:dyDescent="0.3">
      <c r="A780" t="s">
        <v>4</v>
      </c>
      <c r="B780" s="1" t="s">
        <v>13</v>
      </c>
      <c r="C780" t="s">
        <v>12</v>
      </c>
      <c r="D780" t="s">
        <v>8</v>
      </c>
      <c r="E780" t="s">
        <v>18</v>
      </c>
    </row>
    <row r="781" spans="1:5" x14ac:dyDescent="0.3">
      <c r="A781" t="s">
        <v>4</v>
      </c>
      <c r="B781" s="1" t="s">
        <v>13</v>
      </c>
      <c r="C781" t="s">
        <v>12</v>
      </c>
      <c r="D781" t="s">
        <v>9</v>
      </c>
      <c r="E781" t="s">
        <v>18</v>
      </c>
    </row>
    <row r="782" spans="1:5" x14ac:dyDescent="0.3">
      <c r="A782" t="s">
        <v>4</v>
      </c>
      <c r="B782" s="1" t="s">
        <v>13</v>
      </c>
      <c r="C782" t="s">
        <v>12</v>
      </c>
      <c r="D782" t="s">
        <v>5</v>
      </c>
      <c r="E782" t="s">
        <v>18</v>
      </c>
    </row>
    <row r="783" spans="1:5" x14ac:dyDescent="0.3">
      <c r="A783" t="s">
        <v>4</v>
      </c>
      <c r="B783" s="1" t="s">
        <v>13</v>
      </c>
      <c r="C783" t="s">
        <v>11</v>
      </c>
      <c r="D783" t="s">
        <v>6</v>
      </c>
      <c r="E783" t="s">
        <v>18</v>
      </c>
    </row>
    <row r="784" spans="1:5" x14ac:dyDescent="0.3">
      <c r="A784" t="s">
        <v>4</v>
      </c>
      <c r="B784" s="1" t="s">
        <v>13</v>
      </c>
      <c r="C784" t="s">
        <v>11</v>
      </c>
      <c r="D784" t="s">
        <v>7</v>
      </c>
      <c r="E784" t="s">
        <v>18</v>
      </c>
    </row>
    <row r="785" spans="1:5" x14ac:dyDescent="0.3">
      <c r="A785" t="s">
        <v>4</v>
      </c>
      <c r="B785" s="1" t="s">
        <v>13</v>
      </c>
      <c r="C785" t="s">
        <v>12</v>
      </c>
      <c r="D785" t="s">
        <v>8</v>
      </c>
      <c r="E785" t="s">
        <v>18</v>
      </c>
    </row>
    <row r="786" spans="1:5" x14ac:dyDescent="0.3">
      <c r="A786" t="s">
        <v>4</v>
      </c>
      <c r="B786" s="1" t="s">
        <v>13</v>
      </c>
      <c r="C786" t="s">
        <v>12</v>
      </c>
      <c r="D786" t="s">
        <v>9</v>
      </c>
      <c r="E786" t="s">
        <v>18</v>
      </c>
    </row>
    <row r="787" spans="1:5" x14ac:dyDescent="0.3">
      <c r="A787" t="s">
        <v>4</v>
      </c>
      <c r="B787" s="1" t="s">
        <v>13</v>
      </c>
      <c r="C787" t="s">
        <v>12</v>
      </c>
      <c r="D787" t="s">
        <v>5</v>
      </c>
      <c r="E787" t="s">
        <v>18</v>
      </c>
    </row>
    <row r="788" spans="1:5" x14ac:dyDescent="0.3">
      <c r="A788" t="s">
        <v>4</v>
      </c>
      <c r="B788" s="1" t="s">
        <v>13</v>
      </c>
      <c r="C788" t="s">
        <v>11</v>
      </c>
      <c r="D788" t="s">
        <v>6</v>
      </c>
      <c r="E788" t="s">
        <v>18</v>
      </c>
    </row>
    <row r="789" spans="1:5" x14ac:dyDescent="0.3">
      <c r="A789" t="s">
        <v>4</v>
      </c>
      <c r="B789" s="1" t="s">
        <v>13</v>
      </c>
      <c r="C789" t="s">
        <v>11</v>
      </c>
      <c r="D789" t="s">
        <v>7</v>
      </c>
      <c r="E789" t="s">
        <v>18</v>
      </c>
    </row>
    <row r="790" spans="1:5" x14ac:dyDescent="0.3">
      <c r="A790" t="s">
        <v>4</v>
      </c>
      <c r="B790" s="1" t="s">
        <v>13</v>
      </c>
      <c r="C790" t="s">
        <v>12</v>
      </c>
      <c r="D790" t="s">
        <v>8</v>
      </c>
      <c r="E790" t="s">
        <v>18</v>
      </c>
    </row>
    <row r="791" spans="1:5" x14ac:dyDescent="0.3">
      <c r="A791" t="s">
        <v>4</v>
      </c>
      <c r="B791" s="1" t="s">
        <v>13</v>
      </c>
      <c r="C791" t="s">
        <v>12</v>
      </c>
      <c r="D791" t="s">
        <v>9</v>
      </c>
      <c r="E791" t="s">
        <v>18</v>
      </c>
    </row>
    <row r="792" spans="1:5" x14ac:dyDescent="0.3">
      <c r="A792" t="s">
        <v>4</v>
      </c>
      <c r="B792" s="1" t="s">
        <v>13</v>
      </c>
      <c r="C792" t="s">
        <v>12</v>
      </c>
      <c r="D792" t="s">
        <v>5</v>
      </c>
      <c r="E792" t="s">
        <v>18</v>
      </c>
    </row>
    <row r="793" spans="1:5" x14ac:dyDescent="0.3">
      <c r="A793" t="s">
        <v>4</v>
      </c>
      <c r="B793" s="1" t="s">
        <v>13</v>
      </c>
      <c r="C793" t="s">
        <v>11</v>
      </c>
      <c r="D793" t="s">
        <v>6</v>
      </c>
      <c r="E793" t="s">
        <v>18</v>
      </c>
    </row>
    <row r="794" spans="1:5" x14ac:dyDescent="0.3">
      <c r="A794" t="s">
        <v>4</v>
      </c>
      <c r="B794" s="1" t="s">
        <v>13</v>
      </c>
      <c r="C794" t="s">
        <v>11</v>
      </c>
      <c r="D794" t="s">
        <v>7</v>
      </c>
      <c r="E794" t="s">
        <v>18</v>
      </c>
    </row>
    <row r="795" spans="1:5" x14ac:dyDescent="0.3">
      <c r="A795" t="s">
        <v>4</v>
      </c>
      <c r="B795" s="1" t="s">
        <v>13</v>
      </c>
      <c r="C795" t="s">
        <v>11</v>
      </c>
      <c r="D795" t="s">
        <v>8</v>
      </c>
      <c r="E795" t="s">
        <v>18</v>
      </c>
    </row>
    <row r="796" spans="1:5" x14ac:dyDescent="0.3">
      <c r="A796" t="s">
        <v>4</v>
      </c>
      <c r="B796" s="1" t="s">
        <v>13</v>
      </c>
      <c r="C796" t="s">
        <v>11</v>
      </c>
      <c r="D796" t="s">
        <v>9</v>
      </c>
      <c r="E796" t="s">
        <v>18</v>
      </c>
    </row>
    <row r="797" spans="1:5" x14ac:dyDescent="0.3">
      <c r="A797" t="s">
        <v>4</v>
      </c>
      <c r="B797" s="1" t="s">
        <v>13</v>
      </c>
      <c r="C797" t="s">
        <v>12</v>
      </c>
      <c r="D797" t="s">
        <v>5</v>
      </c>
      <c r="E797" t="s">
        <v>18</v>
      </c>
    </row>
    <row r="798" spans="1:5" x14ac:dyDescent="0.3">
      <c r="A798" t="s">
        <v>4</v>
      </c>
      <c r="B798" s="1" t="s">
        <v>13</v>
      </c>
      <c r="C798" t="s">
        <v>11</v>
      </c>
      <c r="D798" t="s">
        <v>6</v>
      </c>
      <c r="E798" t="s">
        <v>18</v>
      </c>
    </row>
    <row r="799" spans="1:5" x14ac:dyDescent="0.3">
      <c r="A799" t="s">
        <v>4</v>
      </c>
      <c r="B799" s="1" t="s">
        <v>13</v>
      </c>
      <c r="C799" t="s">
        <v>12</v>
      </c>
      <c r="D799" t="s">
        <v>7</v>
      </c>
      <c r="E799" t="s">
        <v>18</v>
      </c>
    </row>
    <row r="800" spans="1:5" x14ac:dyDescent="0.3">
      <c r="A800" t="s">
        <v>4</v>
      </c>
      <c r="B800" s="1" t="s">
        <v>13</v>
      </c>
      <c r="C800" t="s">
        <v>12</v>
      </c>
      <c r="D800" t="s">
        <v>8</v>
      </c>
      <c r="E800" t="s">
        <v>18</v>
      </c>
    </row>
    <row r="801" spans="1:5" x14ac:dyDescent="0.3">
      <c r="A801" t="s">
        <v>4</v>
      </c>
      <c r="B801" s="1" t="s">
        <v>13</v>
      </c>
      <c r="C801" t="s">
        <v>12</v>
      </c>
      <c r="D801" t="s">
        <v>9</v>
      </c>
      <c r="E801" t="s">
        <v>18</v>
      </c>
    </row>
    <row r="802" spans="1:5" x14ac:dyDescent="0.3">
      <c r="A802" t="s">
        <v>4</v>
      </c>
      <c r="B802" s="1" t="s">
        <v>13</v>
      </c>
      <c r="C802" t="s">
        <v>12</v>
      </c>
      <c r="D802" t="s">
        <v>5</v>
      </c>
      <c r="E802" t="s">
        <v>19</v>
      </c>
    </row>
    <row r="803" spans="1:5" x14ac:dyDescent="0.3">
      <c r="A803" t="s">
        <v>4</v>
      </c>
      <c r="B803" s="1" t="s">
        <v>13</v>
      </c>
      <c r="C803" t="s">
        <v>10</v>
      </c>
      <c r="D803" t="s">
        <v>6</v>
      </c>
      <c r="E803" t="s">
        <v>19</v>
      </c>
    </row>
    <row r="804" spans="1:5" x14ac:dyDescent="0.3">
      <c r="A804" t="s">
        <v>4</v>
      </c>
      <c r="B804" s="1" t="s">
        <v>13</v>
      </c>
      <c r="C804" t="s">
        <v>12</v>
      </c>
      <c r="D804" t="s">
        <v>7</v>
      </c>
      <c r="E804" t="s">
        <v>19</v>
      </c>
    </row>
    <row r="805" spans="1:5" x14ac:dyDescent="0.3">
      <c r="A805" t="s">
        <v>4</v>
      </c>
      <c r="B805" s="1" t="s">
        <v>13</v>
      </c>
      <c r="C805" t="s">
        <v>11</v>
      </c>
      <c r="D805" t="s">
        <v>8</v>
      </c>
      <c r="E805" t="s">
        <v>19</v>
      </c>
    </row>
    <row r="806" spans="1:5" x14ac:dyDescent="0.3">
      <c r="A806" t="s">
        <v>4</v>
      </c>
      <c r="B806" s="1" t="s">
        <v>13</v>
      </c>
      <c r="C806" t="s">
        <v>12</v>
      </c>
      <c r="D806" t="s">
        <v>9</v>
      </c>
      <c r="E806" t="s">
        <v>19</v>
      </c>
    </row>
    <row r="807" spans="1:5" x14ac:dyDescent="0.3">
      <c r="A807" t="s">
        <v>4</v>
      </c>
      <c r="B807" s="1" t="s">
        <v>13</v>
      </c>
      <c r="C807" t="s">
        <v>12</v>
      </c>
      <c r="D807" t="s">
        <v>5</v>
      </c>
      <c r="E807" t="s">
        <v>19</v>
      </c>
    </row>
    <row r="808" spans="1:5" x14ac:dyDescent="0.3">
      <c r="A808" t="s">
        <v>4</v>
      </c>
      <c r="B808" s="1" t="s">
        <v>13</v>
      </c>
      <c r="C808" t="s">
        <v>10</v>
      </c>
      <c r="D808" t="s">
        <v>6</v>
      </c>
      <c r="E808" t="s">
        <v>19</v>
      </c>
    </row>
    <row r="809" spans="1:5" x14ac:dyDescent="0.3">
      <c r="A809" t="s">
        <v>4</v>
      </c>
      <c r="B809" s="1" t="s">
        <v>13</v>
      </c>
      <c r="C809" t="s">
        <v>11</v>
      </c>
      <c r="D809" t="s">
        <v>7</v>
      </c>
      <c r="E809" t="s">
        <v>19</v>
      </c>
    </row>
    <row r="810" spans="1:5" x14ac:dyDescent="0.3">
      <c r="A810" t="s">
        <v>4</v>
      </c>
      <c r="B810" s="1" t="s">
        <v>13</v>
      </c>
      <c r="C810" t="s">
        <v>11</v>
      </c>
      <c r="D810" t="s">
        <v>8</v>
      </c>
      <c r="E810" t="s">
        <v>19</v>
      </c>
    </row>
    <row r="811" spans="1:5" x14ac:dyDescent="0.3">
      <c r="A811" t="s">
        <v>4</v>
      </c>
      <c r="B811" s="1" t="s">
        <v>13</v>
      </c>
      <c r="C811" t="s">
        <v>11</v>
      </c>
      <c r="D811" t="s">
        <v>9</v>
      </c>
      <c r="E811" t="s">
        <v>19</v>
      </c>
    </row>
    <row r="812" spans="1:5" x14ac:dyDescent="0.3">
      <c r="A812" t="s">
        <v>4</v>
      </c>
      <c r="B812" s="1" t="s">
        <v>13</v>
      </c>
      <c r="C812" t="s">
        <v>12</v>
      </c>
      <c r="D812" t="s">
        <v>5</v>
      </c>
      <c r="E812" t="s">
        <v>19</v>
      </c>
    </row>
    <row r="813" spans="1:5" x14ac:dyDescent="0.3">
      <c r="A813" t="s">
        <v>4</v>
      </c>
      <c r="B813" s="1" t="s">
        <v>13</v>
      </c>
      <c r="C813" t="s">
        <v>10</v>
      </c>
      <c r="D813" t="s">
        <v>6</v>
      </c>
      <c r="E813" t="s">
        <v>19</v>
      </c>
    </row>
    <row r="814" spans="1:5" x14ac:dyDescent="0.3">
      <c r="A814" t="s">
        <v>4</v>
      </c>
      <c r="B814" s="1" t="s">
        <v>13</v>
      </c>
      <c r="C814" t="s">
        <v>11</v>
      </c>
      <c r="D814" t="s">
        <v>7</v>
      </c>
      <c r="E814" t="s">
        <v>19</v>
      </c>
    </row>
    <row r="815" spans="1:5" x14ac:dyDescent="0.3">
      <c r="A815" t="s">
        <v>4</v>
      </c>
      <c r="B815" s="1" t="s">
        <v>13</v>
      </c>
      <c r="C815" t="s">
        <v>11</v>
      </c>
      <c r="D815" t="s">
        <v>8</v>
      </c>
      <c r="E815" t="s">
        <v>19</v>
      </c>
    </row>
    <row r="816" spans="1:5" x14ac:dyDescent="0.3">
      <c r="A816" t="s">
        <v>4</v>
      </c>
      <c r="B816" s="1" t="s">
        <v>13</v>
      </c>
      <c r="C816" t="s">
        <v>11</v>
      </c>
      <c r="D816" t="s">
        <v>9</v>
      </c>
      <c r="E816" t="s">
        <v>19</v>
      </c>
    </row>
    <row r="817" spans="1:5" x14ac:dyDescent="0.3">
      <c r="A817" t="s">
        <v>4</v>
      </c>
      <c r="B817" s="1" t="s">
        <v>13</v>
      </c>
      <c r="C817" t="s">
        <v>12</v>
      </c>
      <c r="D817" t="s">
        <v>5</v>
      </c>
      <c r="E817" t="s">
        <v>19</v>
      </c>
    </row>
    <row r="818" spans="1:5" x14ac:dyDescent="0.3">
      <c r="A818" t="s">
        <v>4</v>
      </c>
      <c r="B818" s="1" t="s">
        <v>13</v>
      </c>
      <c r="C818" t="s">
        <v>10</v>
      </c>
      <c r="D818" t="s">
        <v>6</v>
      </c>
      <c r="E818" t="s">
        <v>19</v>
      </c>
    </row>
    <row r="819" spans="1:5" x14ac:dyDescent="0.3">
      <c r="A819" t="s">
        <v>4</v>
      </c>
      <c r="B819" s="1" t="s">
        <v>13</v>
      </c>
      <c r="C819" t="s">
        <v>11</v>
      </c>
      <c r="D819" t="s">
        <v>7</v>
      </c>
      <c r="E819" t="s">
        <v>19</v>
      </c>
    </row>
    <row r="820" spans="1:5" x14ac:dyDescent="0.3">
      <c r="A820" t="s">
        <v>4</v>
      </c>
      <c r="B820" s="1" t="s">
        <v>13</v>
      </c>
      <c r="C820" t="s">
        <v>12</v>
      </c>
      <c r="D820" t="s">
        <v>8</v>
      </c>
      <c r="E820" t="s">
        <v>19</v>
      </c>
    </row>
    <row r="821" spans="1:5" x14ac:dyDescent="0.3">
      <c r="A821" t="s">
        <v>4</v>
      </c>
      <c r="B821" s="1" t="s">
        <v>13</v>
      </c>
      <c r="C821" t="s">
        <v>11</v>
      </c>
      <c r="D821" t="s">
        <v>9</v>
      </c>
      <c r="E821" t="s">
        <v>19</v>
      </c>
    </row>
    <row r="822" spans="1:5" x14ac:dyDescent="0.3">
      <c r="A822" t="s">
        <v>4</v>
      </c>
      <c r="B822" s="1" t="s">
        <v>13</v>
      </c>
      <c r="C822" t="s">
        <v>12</v>
      </c>
      <c r="D822" t="s">
        <v>5</v>
      </c>
      <c r="E822" t="s">
        <v>19</v>
      </c>
    </row>
    <row r="823" spans="1:5" x14ac:dyDescent="0.3">
      <c r="A823" t="s">
        <v>4</v>
      </c>
      <c r="B823" s="1" t="s">
        <v>13</v>
      </c>
      <c r="C823" t="s">
        <v>10</v>
      </c>
      <c r="D823" t="s">
        <v>6</v>
      </c>
      <c r="E823" t="s">
        <v>19</v>
      </c>
    </row>
    <row r="824" spans="1:5" x14ac:dyDescent="0.3">
      <c r="A824" t="s">
        <v>4</v>
      </c>
      <c r="B824" s="1" t="s">
        <v>13</v>
      </c>
      <c r="C824" t="s">
        <v>11</v>
      </c>
      <c r="D824" t="s">
        <v>7</v>
      </c>
      <c r="E824" t="s">
        <v>19</v>
      </c>
    </row>
    <row r="825" spans="1:5" x14ac:dyDescent="0.3">
      <c r="A825" t="s">
        <v>4</v>
      </c>
      <c r="B825" s="1" t="s">
        <v>13</v>
      </c>
      <c r="C825" t="s">
        <v>10</v>
      </c>
      <c r="D825" t="s">
        <v>8</v>
      </c>
      <c r="E825" t="s">
        <v>19</v>
      </c>
    </row>
    <row r="826" spans="1:5" x14ac:dyDescent="0.3">
      <c r="A826" t="s">
        <v>4</v>
      </c>
      <c r="B826" s="1" t="s">
        <v>13</v>
      </c>
      <c r="C826" t="s">
        <v>11</v>
      </c>
      <c r="D826" t="s">
        <v>9</v>
      </c>
      <c r="E826" t="s">
        <v>19</v>
      </c>
    </row>
    <row r="827" spans="1:5" x14ac:dyDescent="0.3">
      <c r="A827" t="s">
        <v>4</v>
      </c>
      <c r="B827" s="1" t="s">
        <v>13</v>
      </c>
      <c r="C827" t="s">
        <v>12</v>
      </c>
      <c r="D827" t="s">
        <v>5</v>
      </c>
      <c r="E827" t="s">
        <v>19</v>
      </c>
    </row>
    <row r="828" spans="1:5" x14ac:dyDescent="0.3">
      <c r="A828" t="s">
        <v>4</v>
      </c>
      <c r="B828" s="1" t="s">
        <v>13</v>
      </c>
      <c r="C828" t="s">
        <v>10</v>
      </c>
      <c r="D828" t="s">
        <v>6</v>
      </c>
      <c r="E828" t="s">
        <v>19</v>
      </c>
    </row>
    <row r="829" spans="1:5" x14ac:dyDescent="0.3">
      <c r="A829" t="s">
        <v>4</v>
      </c>
      <c r="B829" s="1" t="s">
        <v>13</v>
      </c>
      <c r="C829" t="s">
        <v>11</v>
      </c>
      <c r="D829" t="s">
        <v>7</v>
      </c>
      <c r="E829" t="s">
        <v>19</v>
      </c>
    </row>
    <row r="830" spans="1:5" x14ac:dyDescent="0.3">
      <c r="A830" t="s">
        <v>4</v>
      </c>
      <c r="B830" s="1" t="s">
        <v>13</v>
      </c>
      <c r="C830" t="s">
        <v>11</v>
      </c>
      <c r="D830" t="s">
        <v>8</v>
      </c>
      <c r="E830" t="s">
        <v>19</v>
      </c>
    </row>
    <row r="831" spans="1:5" x14ac:dyDescent="0.3">
      <c r="A831" t="s">
        <v>4</v>
      </c>
      <c r="B831" s="1" t="s">
        <v>13</v>
      </c>
      <c r="C831" t="s">
        <v>11</v>
      </c>
      <c r="D831" t="s">
        <v>9</v>
      </c>
      <c r="E831" t="s">
        <v>19</v>
      </c>
    </row>
    <row r="832" spans="1:5" x14ac:dyDescent="0.3">
      <c r="A832" t="s">
        <v>4</v>
      </c>
      <c r="B832" s="1" t="s">
        <v>13</v>
      </c>
      <c r="C832" t="s">
        <v>12</v>
      </c>
      <c r="D832" t="s">
        <v>5</v>
      </c>
      <c r="E832" t="s">
        <v>19</v>
      </c>
    </row>
    <row r="833" spans="1:5" x14ac:dyDescent="0.3">
      <c r="A833" t="s">
        <v>4</v>
      </c>
      <c r="B833" s="1" t="s">
        <v>13</v>
      </c>
      <c r="C833" t="s">
        <v>10</v>
      </c>
      <c r="D833" t="s">
        <v>6</v>
      </c>
      <c r="E833" t="s">
        <v>19</v>
      </c>
    </row>
    <row r="834" spans="1:5" x14ac:dyDescent="0.3">
      <c r="A834" t="s">
        <v>4</v>
      </c>
      <c r="B834" s="1" t="s">
        <v>13</v>
      </c>
      <c r="C834" t="s">
        <v>12</v>
      </c>
      <c r="D834" t="s">
        <v>7</v>
      </c>
      <c r="E834" t="s">
        <v>19</v>
      </c>
    </row>
    <row r="835" spans="1:5" x14ac:dyDescent="0.3">
      <c r="A835" t="s">
        <v>4</v>
      </c>
      <c r="B835" s="1" t="s">
        <v>13</v>
      </c>
      <c r="C835" t="s">
        <v>12</v>
      </c>
      <c r="D835" t="s">
        <v>8</v>
      </c>
      <c r="E835" t="s">
        <v>19</v>
      </c>
    </row>
    <row r="836" spans="1:5" x14ac:dyDescent="0.3">
      <c r="A836" t="s">
        <v>4</v>
      </c>
      <c r="B836" s="1" t="s">
        <v>13</v>
      </c>
      <c r="C836" t="s">
        <v>12</v>
      </c>
      <c r="D836" t="s">
        <v>9</v>
      </c>
      <c r="E836" t="s">
        <v>19</v>
      </c>
    </row>
    <row r="837" spans="1:5" x14ac:dyDescent="0.3">
      <c r="A837" t="s">
        <v>4</v>
      </c>
      <c r="B837" s="1" t="s">
        <v>13</v>
      </c>
      <c r="C837" t="s">
        <v>12</v>
      </c>
      <c r="D837" t="s">
        <v>5</v>
      </c>
      <c r="E837" t="s">
        <v>19</v>
      </c>
    </row>
    <row r="838" spans="1:5" x14ac:dyDescent="0.3">
      <c r="A838" t="s">
        <v>4</v>
      </c>
      <c r="B838" s="1" t="s">
        <v>13</v>
      </c>
      <c r="C838" t="s">
        <v>10</v>
      </c>
      <c r="D838" t="s">
        <v>6</v>
      </c>
      <c r="E838" t="s">
        <v>19</v>
      </c>
    </row>
    <row r="839" spans="1:5" x14ac:dyDescent="0.3">
      <c r="A839" t="s">
        <v>4</v>
      </c>
      <c r="B839" s="1" t="s">
        <v>13</v>
      </c>
      <c r="C839" t="s">
        <v>12</v>
      </c>
      <c r="D839" t="s">
        <v>7</v>
      </c>
      <c r="E839" t="s">
        <v>19</v>
      </c>
    </row>
    <row r="840" spans="1:5" x14ac:dyDescent="0.3">
      <c r="A840" t="s">
        <v>4</v>
      </c>
      <c r="B840" s="1" t="s">
        <v>13</v>
      </c>
      <c r="C840" t="s">
        <v>10</v>
      </c>
      <c r="D840" t="s">
        <v>8</v>
      </c>
      <c r="E840" t="s">
        <v>19</v>
      </c>
    </row>
    <row r="841" spans="1:5" x14ac:dyDescent="0.3">
      <c r="A841" t="s">
        <v>4</v>
      </c>
      <c r="B841" s="1" t="s">
        <v>13</v>
      </c>
      <c r="C841" t="s">
        <v>12</v>
      </c>
      <c r="D841" t="s">
        <v>9</v>
      </c>
      <c r="E841" t="s">
        <v>19</v>
      </c>
    </row>
    <row r="842" spans="1:5" x14ac:dyDescent="0.3">
      <c r="A842" t="s">
        <v>4</v>
      </c>
      <c r="B842" s="1" t="s">
        <v>13</v>
      </c>
      <c r="C842" t="s">
        <v>12</v>
      </c>
      <c r="D842" t="s">
        <v>5</v>
      </c>
      <c r="E842" t="s">
        <v>19</v>
      </c>
    </row>
    <row r="843" spans="1:5" x14ac:dyDescent="0.3">
      <c r="A843" t="s">
        <v>4</v>
      </c>
      <c r="B843" s="1" t="s">
        <v>13</v>
      </c>
      <c r="C843" t="s">
        <v>10</v>
      </c>
      <c r="D843" t="s">
        <v>6</v>
      </c>
      <c r="E843" t="s">
        <v>19</v>
      </c>
    </row>
    <row r="844" spans="1:5" x14ac:dyDescent="0.3">
      <c r="A844" t="s">
        <v>4</v>
      </c>
      <c r="B844" s="1" t="s">
        <v>13</v>
      </c>
      <c r="C844" t="s">
        <v>11</v>
      </c>
      <c r="D844" t="s">
        <v>7</v>
      </c>
      <c r="E844" t="s">
        <v>19</v>
      </c>
    </row>
    <row r="845" spans="1:5" x14ac:dyDescent="0.3">
      <c r="A845" t="s">
        <v>4</v>
      </c>
      <c r="B845" s="1" t="s">
        <v>13</v>
      </c>
      <c r="C845" t="s">
        <v>12</v>
      </c>
      <c r="D845" t="s">
        <v>8</v>
      </c>
      <c r="E845" t="s">
        <v>19</v>
      </c>
    </row>
    <row r="846" spans="1:5" x14ac:dyDescent="0.3">
      <c r="A846" t="s">
        <v>4</v>
      </c>
      <c r="B846" s="1" t="s">
        <v>13</v>
      </c>
      <c r="C846" t="s">
        <v>12</v>
      </c>
      <c r="D846" t="s">
        <v>9</v>
      </c>
      <c r="E846" t="s">
        <v>19</v>
      </c>
    </row>
    <row r="847" spans="1:5" x14ac:dyDescent="0.3">
      <c r="A847" t="s">
        <v>4</v>
      </c>
      <c r="B847" s="1" t="s">
        <v>13</v>
      </c>
      <c r="C847" t="s">
        <v>12</v>
      </c>
      <c r="D847" t="s">
        <v>5</v>
      </c>
      <c r="E847" t="s">
        <v>19</v>
      </c>
    </row>
    <row r="848" spans="1:5" x14ac:dyDescent="0.3">
      <c r="A848" t="s">
        <v>4</v>
      </c>
      <c r="B848" s="1" t="s">
        <v>13</v>
      </c>
      <c r="C848" t="s">
        <v>10</v>
      </c>
      <c r="D848" t="s">
        <v>6</v>
      </c>
      <c r="E848" t="s">
        <v>19</v>
      </c>
    </row>
    <row r="849" spans="1:5" x14ac:dyDescent="0.3">
      <c r="A849" t="s">
        <v>4</v>
      </c>
      <c r="B849" s="1" t="s">
        <v>13</v>
      </c>
      <c r="C849" t="s">
        <v>11</v>
      </c>
      <c r="D849" t="s">
        <v>7</v>
      </c>
      <c r="E849" t="s">
        <v>19</v>
      </c>
    </row>
    <row r="850" spans="1:5" x14ac:dyDescent="0.3">
      <c r="A850" t="s">
        <v>4</v>
      </c>
      <c r="B850" s="1" t="s">
        <v>13</v>
      </c>
      <c r="C850" t="s">
        <v>11</v>
      </c>
      <c r="D850" t="s">
        <v>8</v>
      </c>
      <c r="E850" t="s">
        <v>19</v>
      </c>
    </row>
    <row r="851" spans="1:5" x14ac:dyDescent="0.3">
      <c r="A851" t="s">
        <v>4</v>
      </c>
      <c r="B851" s="1" t="s">
        <v>13</v>
      </c>
      <c r="C851" t="s">
        <v>11</v>
      </c>
      <c r="D851" t="s">
        <v>9</v>
      </c>
      <c r="E851" t="s">
        <v>19</v>
      </c>
    </row>
    <row r="852" spans="1:5" x14ac:dyDescent="0.3">
      <c r="A852" t="s">
        <v>4</v>
      </c>
      <c r="B852" s="1" t="s">
        <v>13</v>
      </c>
      <c r="C852" t="s">
        <v>12</v>
      </c>
      <c r="D852" t="s">
        <v>5</v>
      </c>
      <c r="E852" t="s">
        <v>19</v>
      </c>
    </row>
    <row r="853" spans="1:5" x14ac:dyDescent="0.3">
      <c r="A853" t="s">
        <v>4</v>
      </c>
      <c r="B853" s="1" t="s">
        <v>13</v>
      </c>
      <c r="C853" t="s">
        <v>10</v>
      </c>
      <c r="D853" t="s">
        <v>6</v>
      </c>
      <c r="E853" t="s">
        <v>19</v>
      </c>
    </row>
    <row r="854" spans="1:5" x14ac:dyDescent="0.3">
      <c r="A854" t="s">
        <v>4</v>
      </c>
      <c r="B854" s="1" t="s">
        <v>13</v>
      </c>
      <c r="C854" t="s">
        <v>10</v>
      </c>
      <c r="D854" t="s">
        <v>7</v>
      </c>
      <c r="E854" t="s">
        <v>19</v>
      </c>
    </row>
    <row r="855" spans="1:5" x14ac:dyDescent="0.3">
      <c r="A855" t="s">
        <v>4</v>
      </c>
      <c r="B855" s="1" t="s">
        <v>13</v>
      </c>
      <c r="C855" t="s">
        <v>12</v>
      </c>
      <c r="D855" t="s">
        <v>8</v>
      </c>
      <c r="E855" t="s">
        <v>19</v>
      </c>
    </row>
    <row r="856" spans="1:5" x14ac:dyDescent="0.3">
      <c r="A856" t="s">
        <v>4</v>
      </c>
      <c r="B856" s="1" t="s">
        <v>13</v>
      </c>
      <c r="C856" t="s">
        <v>12</v>
      </c>
      <c r="D856" t="s">
        <v>9</v>
      </c>
      <c r="E856" t="s">
        <v>19</v>
      </c>
    </row>
    <row r="857" spans="1:5" x14ac:dyDescent="0.3">
      <c r="A857" t="s">
        <v>4</v>
      </c>
      <c r="B857" s="1" t="s">
        <v>13</v>
      </c>
      <c r="C857" t="s">
        <v>12</v>
      </c>
      <c r="D857" t="s">
        <v>5</v>
      </c>
      <c r="E857" t="s">
        <v>19</v>
      </c>
    </row>
    <row r="858" spans="1:5" x14ac:dyDescent="0.3">
      <c r="A858" t="s">
        <v>4</v>
      </c>
      <c r="B858" s="1" t="s">
        <v>13</v>
      </c>
      <c r="C858" t="s">
        <v>10</v>
      </c>
      <c r="D858" t="s">
        <v>6</v>
      </c>
      <c r="E858" t="s">
        <v>19</v>
      </c>
    </row>
    <row r="859" spans="1:5" x14ac:dyDescent="0.3">
      <c r="A859" t="s">
        <v>4</v>
      </c>
      <c r="B859" s="1" t="s">
        <v>13</v>
      </c>
      <c r="C859" t="s">
        <v>11</v>
      </c>
      <c r="D859" t="s">
        <v>7</v>
      </c>
      <c r="E859" t="s">
        <v>19</v>
      </c>
    </row>
    <row r="860" spans="1:5" x14ac:dyDescent="0.3">
      <c r="A860" t="s">
        <v>4</v>
      </c>
      <c r="B860" s="1" t="s">
        <v>13</v>
      </c>
      <c r="C860" t="s">
        <v>12</v>
      </c>
      <c r="D860" t="s">
        <v>8</v>
      </c>
      <c r="E860" t="s">
        <v>19</v>
      </c>
    </row>
    <row r="861" spans="1:5" x14ac:dyDescent="0.3">
      <c r="A861" t="s">
        <v>4</v>
      </c>
      <c r="B861" s="1" t="s">
        <v>13</v>
      </c>
      <c r="C861" t="s">
        <v>12</v>
      </c>
      <c r="D861" t="s">
        <v>9</v>
      </c>
      <c r="E861" t="s">
        <v>19</v>
      </c>
    </row>
    <row r="862" spans="1:5" x14ac:dyDescent="0.3">
      <c r="A862" t="s">
        <v>4</v>
      </c>
      <c r="B862" s="1" t="s">
        <v>13</v>
      </c>
      <c r="C862" t="s">
        <v>12</v>
      </c>
      <c r="D862" t="s">
        <v>5</v>
      </c>
      <c r="E862" t="s">
        <v>19</v>
      </c>
    </row>
    <row r="863" spans="1:5" x14ac:dyDescent="0.3">
      <c r="A863" t="s">
        <v>4</v>
      </c>
      <c r="B863" s="1" t="s">
        <v>13</v>
      </c>
      <c r="C863" t="s">
        <v>10</v>
      </c>
      <c r="D863" t="s">
        <v>6</v>
      </c>
      <c r="E863" t="s">
        <v>19</v>
      </c>
    </row>
    <row r="864" spans="1:5" x14ac:dyDescent="0.3">
      <c r="A864" t="s">
        <v>4</v>
      </c>
      <c r="B864" s="1" t="s">
        <v>13</v>
      </c>
      <c r="C864" t="s">
        <v>11</v>
      </c>
      <c r="D864" t="s">
        <v>7</v>
      </c>
      <c r="E864" t="s">
        <v>19</v>
      </c>
    </row>
    <row r="865" spans="1:5" x14ac:dyDescent="0.3">
      <c r="A865" t="s">
        <v>4</v>
      </c>
      <c r="B865" s="1" t="s">
        <v>13</v>
      </c>
      <c r="C865" t="s">
        <v>11</v>
      </c>
      <c r="D865" t="s">
        <v>8</v>
      </c>
      <c r="E865" t="s">
        <v>19</v>
      </c>
    </row>
    <row r="866" spans="1:5" x14ac:dyDescent="0.3">
      <c r="A866" t="s">
        <v>4</v>
      </c>
      <c r="B866" s="1" t="s">
        <v>13</v>
      </c>
      <c r="C866" t="s">
        <v>12</v>
      </c>
      <c r="D866" t="s">
        <v>9</v>
      </c>
      <c r="E866" t="s">
        <v>19</v>
      </c>
    </row>
    <row r="867" spans="1:5" x14ac:dyDescent="0.3">
      <c r="A867" t="s">
        <v>4</v>
      </c>
      <c r="B867" s="1" t="s">
        <v>13</v>
      </c>
      <c r="C867" t="s">
        <v>12</v>
      </c>
      <c r="D867" t="s">
        <v>5</v>
      </c>
      <c r="E867" t="s">
        <v>19</v>
      </c>
    </row>
    <row r="868" spans="1:5" x14ac:dyDescent="0.3">
      <c r="A868" t="s">
        <v>4</v>
      </c>
      <c r="B868" s="1" t="s">
        <v>13</v>
      </c>
      <c r="C868" t="s">
        <v>10</v>
      </c>
      <c r="D868" t="s">
        <v>6</v>
      </c>
      <c r="E868" t="s">
        <v>19</v>
      </c>
    </row>
    <row r="869" spans="1:5" x14ac:dyDescent="0.3">
      <c r="A869" t="s">
        <v>4</v>
      </c>
      <c r="B869" s="1" t="s">
        <v>13</v>
      </c>
      <c r="C869" t="s">
        <v>12</v>
      </c>
      <c r="D869" t="s">
        <v>7</v>
      </c>
      <c r="E869" t="s">
        <v>19</v>
      </c>
    </row>
    <row r="870" spans="1:5" x14ac:dyDescent="0.3">
      <c r="A870" t="s">
        <v>4</v>
      </c>
      <c r="B870" s="1" t="s">
        <v>13</v>
      </c>
      <c r="C870" t="s">
        <v>12</v>
      </c>
      <c r="D870" t="s">
        <v>8</v>
      </c>
      <c r="E870" t="s">
        <v>19</v>
      </c>
    </row>
    <row r="871" spans="1:5" x14ac:dyDescent="0.3">
      <c r="A871" t="s">
        <v>4</v>
      </c>
      <c r="B871" s="1" t="s">
        <v>13</v>
      </c>
      <c r="C871" t="s">
        <v>12</v>
      </c>
      <c r="D871" t="s">
        <v>9</v>
      </c>
      <c r="E871" t="s">
        <v>19</v>
      </c>
    </row>
    <row r="872" spans="1:5" x14ac:dyDescent="0.3">
      <c r="A872" t="s">
        <v>4</v>
      </c>
      <c r="B872" s="1" t="s">
        <v>13</v>
      </c>
      <c r="C872" t="s">
        <v>12</v>
      </c>
      <c r="D872" t="s">
        <v>5</v>
      </c>
      <c r="E872" t="s">
        <v>19</v>
      </c>
    </row>
    <row r="873" spans="1:5" x14ac:dyDescent="0.3">
      <c r="A873" t="s">
        <v>4</v>
      </c>
      <c r="B873" s="1" t="s">
        <v>13</v>
      </c>
      <c r="C873" t="s">
        <v>10</v>
      </c>
      <c r="D873" t="s">
        <v>6</v>
      </c>
      <c r="E873" t="s">
        <v>19</v>
      </c>
    </row>
    <row r="874" spans="1:5" x14ac:dyDescent="0.3">
      <c r="A874" t="s">
        <v>4</v>
      </c>
      <c r="B874" s="1" t="s">
        <v>13</v>
      </c>
      <c r="C874" t="s">
        <v>12</v>
      </c>
      <c r="D874" t="s">
        <v>7</v>
      </c>
      <c r="E874" t="s">
        <v>19</v>
      </c>
    </row>
    <row r="875" spans="1:5" x14ac:dyDescent="0.3">
      <c r="A875" t="s">
        <v>4</v>
      </c>
      <c r="B875" s="1" t="s">
        <v>13</v>
      </c>
      <c r="C875" t="s">
        <v>12</v>
      </c>
      <c r="D875" t="s">
        <v>8</v>
      </c>
      <c r="E875" t="s">
        <v>19</v>
      </c>
    </row>
    <row r="876" spans="1:5" x14ac:dyDescent="0.3">
      <c r="A876" t="s">
        <v>4</v>
      </c>
      <c r="B876" s="1" t="s">
        <v>13</v>
      </c>
      <c r="C876" t="s">
        <v>12</v>
      </c>
      <c r="D876" t="s">
        <v>9</v>
      </c>
      <c r="E876" t="s">
        <v>19</v>
      </c>
    </row>
    <row r="877" spans="1:5" x14ac:dyDescent="0.3">
      <c r="A877" t="s">
        <v>4</v>
      </c>
      <c r="B877" s="1" t="s">
        <v>13</v>
      </c>
      <c r="C877" t="s">
        <v>12</v>
      </c>
      <c r="D877" t="s">
        <v>5</v>
      </c>
      <c r="E877" t="s">
        <v>19</v>
      </c>
    </row>
    <row r="878" spans="1:5" x14ac:dyDescent="0.3">
      <c r="A878" t="s">
        <v>4</v>
      </c>
      <c r="B878" s="1" t="s">
        <v>13</v>
      </c>
      <c r="C878" t="s">
        <v>10</v>
      </c>
      <c r="D878" t="s">
        <v>6</v>
      </c>
      <c r="E878" t="s">
        <v>19</v>
      </c>
    </row>
    <row r="879" spans="1:5" x14ac:dyDescent="0.3">
      <c r="A879" t="s">
        <v>4</v>
      </c>
      <c r="B879" s="1" t="s">
        <v>13</v>
      </c>
      <c r="C879" t="s">
        <v>10</v>
      </c>
      <c r="D879" t="s">
        <v>7</v>
      </c>
      <c r="E879" t="s">
        <v>19</v>
      </c>
    </row>
    <row r="880" spans="1:5" x14ac:dyDescent="0.3">
      <c r="A880" t="s">
        <v>4</v>
      </c>
      <c r="B880" s="1" t="s">
        <v>13</v>
      </c>
      <c r="C880" t="s">
        <v>12</v>
      </c>
      <c r="D880" t="s">
        <v>8</v>
      </c>
      <c r="E880" t="s">
        <v>19</v>
      </c>
    </row>
    <row r="881" spans="1:5" x14ac:dyDescent="0.3">
      <c r="A881" t="s">
        <v>4</v>
      </c>
      <c r="B881" s="1" t="s">
        <v>13</v>
      </c>
      <c r="C881" t="s">
        <v>12</v>
      </c>
      <c r="D881" t="s">
        <v>9</v>
      </c>
      <c r="E881" t="s">
        <v>19</v>
      </c>
    </row>
    <row r="882" spans="1:5" x14ac:dyDescent="0.3">
      <c r="A882" t="s">
        <v>4</v>
      </c>
      <c r="B882" s="1" t="s">
        <v>13</v>
      </c>
      <c r="C882" t="s">
        <v>12</v>
      </c>
      <c r="D882" t="s">
        <v>5</v>
      </c>
      <c r="E882" t="s">
        <v>19</v>
      </c>
    </row>
    <row r="883" spans="1:5" x14ac:dyDescent="0.3">
      <c r="A883" t="s">
        <v>4</v>
      </c>
      <c r="B883" s="1" t="s">
        <v>13</v>
      </c>
      <c r="C883" t="s">
        <v>10</v>
      </c>
      <c r="D883" t="s">
        <v>6</v>
      </c>
      <c r="E883" t="s">
        <v>19</v>
      </c>
    </row>
    <row r="884" spans="1:5" x14ac:dyDescent="0.3">
      <c r="A884" t="s">
        <v>4</v>
      </c>
      <c r="B884" s="1" t="s">
        <v>13</v>
      </c>
      <c r="C884" t="s">
        <v>11</v>
      </c>
      <c r="D884" t="s">
        <v>7</v>
      </c>
      <c r="E884" t="s">
        <v>19</v>
      </c>
    </row>
    <row r="885" spans="1:5" x14ac:dyDescent="0.3">
      <c r="A885" t="s">
        <v>4</v>
      </c>
      <c r="B885" s="1" t="s">
        <v>13</v>
      </c>
      <c r="C885" t="s">
        <v>12</v>
      </c>
      <c r="D885" t="s">
        <v>8</v>
      </c>
      <c r="E885" t="s">
        <v>19</v>
      </c>
    </row>
    <row r="886" spans="1:5" x14ac:dyDescent="0.3">
      <c r="A886" t="s">
        <v>4</v>
      </c>
      <c r="B886" s="1" t="s">
        <v>13</v>
      </c>
      <c r="C886" t="s">
        <v>12</v>
      </c>
      <c r="D886" t="s">
        <v>9</v>
      </c>
      <c r="E886" t="s">
        <v>19</v>
      </c>
    </row>
    <row r="887" spans="1:5" x14ac:dyDescent="0.3">
      <c r="A887" t="s">
        <v>4</v>
      </c>
      <c r="B887" s="1" t="s">
        <v>13</v>
      </c>
      <c r="C887" t="s">
        <v>12</v>
      </c>
      <c r="D887" t="s">
        <v>5</v>
      </c>
      <c r="E887" t="s">
        <v>19</v>
      </c>
    </row>
    <row r="888" spans="1:5" x14ac:dyDescent="0.3">
      <c r="A888" t="s">
        <v>4</v>
      </c>
      <c r="B888" s="1" t="s">
        <v>13</v>
      </c>
      <c r="C888" t="s">
        <v>10</v>
      </c>
      <c r="D888" t="s">
        <v>6</v>
      </c>
      <c r="E888" t="s">
        <v>19</v>
      </c>
    </row>
    <row r="889" spans="1:5" x14ac:dyDescent="0.3">
      <c r="A889" t="s">
        <v>4</v>
      </c>
      <c r="B889" s="1" t="s">
        <v>13</v>
      </c>
      <c r="C889" t="s">
        <v>12</v>
      </c>
      <c r="D889" t="s">
        <v>7</v>
      </c>
      <c r="E889" t="s">
        <v>19</v>
      </c>
    </row>
    <row r="890" spans="1:5" x14ac:dyDescent="0.3">
      <c r="A890" t="s">
        <v>4</v>
      </c>
      <c r="B890" s="1" t="s">
        <v>13</v>
      </c>
      <c r="C890" t="s">
        <v>12</v>
      </c>
      <c r="D890" t="s">
        <v>8</v>
      </c>
      <c r="E890" t="s">
        <v>19</v>
      </c>
    </row>
    <row r="891" spans="1:5" x14ac:dyDescent="0.3">
      <c r="A891" t="s">
        <v>4</v>
      </c>
      <c r="B891" s="1" t="s">
        <v>13</v>
      </c>
      <c r="C891" t="s">
        <v>12</v>
      </c>
      <c r="D891" t="s">
        <v>9</v>
      </c>
      <c r="E891" t="s">
        <v>19</v>
      </c>
    </row>
    <row r="892" spans="1:5" x14ac:dyDescent="0.3">
      <c r="A892" t="s">
        <v>4</v>
      </c>
      <c r="B892" s="1" t="s">
        <v>13</v>
      </c>
      <c r="C892" t="s">
        <v>12</v>
      </c>
      <c r="D892" t="s">
        <v>5</v>
      </c>
      <c r="E892" t="s">
        <v>19</v>
      </c>
    </row>
    <row r="893" spans="1:5" x14ac:dyDescent="0.3">
      <c r="A893" t="s">
        <v>4</v>
      </c>
      <c r="B893" s="1" t="s">
        <v>13</v>
      </c>
      <c r="C893" t="s">
        <v>10</v>
      </c>
      <c r="D893" t="s">
        <v>6</v>
      </c>
      <c r="E893" t="s">
        <v>19</v>
      </c>
    </row>
    <row r="894" spans="1:5" x14ac:dyDescent="0.3">
      <c r="A894" t="s">
        <v>4</v>
      </c>
      <c r="B894" s="1" t="s">
        <v>13</v>
      </c>
      <c r="C894" t="s">
        <v>11</v>
      </c>
      <c r="D894" t="s">
        <v>7</v>
      </c>
      <c r="E894" t="s">
        <v>19</v>
      </c>
    </row>
    <row r="895" spans="1:5" x14ac:dyDescent="0.3">
      <c r="A895" t="s">
        <v>4</v>
      </c>
      <c r="B895" s="1" t="s">
        <v>13</v>
      </c>
      <c r="C895" t="s">
        <v>12</v>
      </c>
      <c r="D895" t="s">
        <v>8</v>
      </c>
      <c r="E895" t="s">
        <v>19</v>
      </c>
    </row>
    <row r="896" spans="1:5" x14ac:dyDescent="0.3">
      <c r="A896" t="s">
        <v>4</v>
      </c>
      <c r="B896" s="1" t="s">
        <v>13</v>
      </c>
      <c r="C896" t="s">
        <v>12</v>
      </c>
      <c r="D896" t="s">
        <v>9</v>
      </c>
      <c r="E896" t="s">
        <v>19</v>
      </c>
    </row>
    <row r="897" spans="1:5" x14ac:dyDescent="0.3">
      <c r="A897" t="s">
        <v>4</v>
      </c>
      <c r="B897" s="1" t="s">
        <v>13</v>
      </c>
      <c r="C897" t="s">
        <v>12</v>
      </c>
      <c r="D897" t="s">
        <v>5</v>
      </c>
      <c r="E897" t="s">
        <v>19</v>
      </c>
    </row>
    <row r="898" spans="1:5" x14ac:dyDescent="0.3">
      <c r="A898" t="s">
        <v>4</v>
      </c>
      <c r="B898" s="1" t="s">
        <v>13</v>
      </c>
      <c r="C898" t="s">
        <v>10</v>
      </c>
      <c r="D898" t="s">
        <v>6</v>
      </c>
      <c r="E898" t="s">
        <v>19</v>
      </c>
    </row>
    <row r="899" spans="1:5" x14ac:dyDescent="0.3">
      <c r="A899" t="s">
        <v>4</v>
      </c>
      <c r="B899" s="1" t="s">
        <v>13</v>
      </c>
      <c r="C899" t="s">
        <v>12</v>
      </c>
      <c r="D899" t="s">
        <v>7</v>
      </c>
      <c r="E899" t="s">
        <v>19</v>
      </c>
    </row>
    <row r="900" spans="1:5" x14ac:dyDescent="0.3">
      <c r="A900" t="s">
        <v>4</v>
      </c>
      <c r="B900" s="1" t="s">
        <v>13</v>
      </c>
      <c r="C900" t="s">
        <v>12</v>
      </c>
      <c r="D900" t="s">
        <v>8</v>
      </c>
      <c r="E900" t="s">
        <v>19</v>
      </c>
    </row>
    <row r="901" spans="1:5" x14ac:dyDescent="0.3">
      <c r="A901" t="s">
        <v>4</v>
      </c>
      <c r="B901" s="1" t="s">
        <v>13</v>
      </c>
      <c r="C901" t="s">
        <v>12</v>
      </c>
      <c r="D901" t="s">
        <v>9</v>
      </c>
      <c r="E901" t="s">
        <v>19</v>
      </c>
    </row>
    <row r="902" spans="1:5" x14ac:dyDescent="0.3">
      <c r="A902" t="s">
        <v>4</v>
      </c>
      <c r="B902" s="1" t="s">
        <v>13</v>
      </c>
      <c r="C902" t="s">
        <v>12</v>
      </c>
      <c r="D902" t="s">
        <v>5</v>
      </c>
      <c r="E902" t="s">
        <v>19</v>
      </c>
    </row>
    <row r="903" spans="1:5" x14ac:dyDescent="0.3">
      <c r="A903" t="s">
        <v>4</v>
      </c>
      <c r="B903" s="1" t="s">
        <v>13</v>
      </c>
      <c r="C903" t="s">
        <v>10</v>
      </c>
      <c r="D903" t="s">
        <v>6</v>
      </c>
      <c r="E903" t="s">
        <v>19</v>
      </c>
    </row>
    <row r="904" spans="1:5" x14ac:dyDescent="0.3">
      <c r="A904" t="s">
        <v>4</v>
      </c>
      <c r="B904" s="1" t="s">
        <v>13</v>
      </c>
      <c r="C904" t="s">
        <v>12</v>
      </c>
      <c r="D904" t="s">
        <v>7</v>
      </c>
      <c r="E904" t="s">
        <v>19</v>
      </c>
    </row>
    <row r="905" spans="1:5" x14ac:dyDescent="0.3">
      <c r="A905" t="s">
        <v>4</v>
      </c>
      <c r="B905" s="1" t="s">
        <v>13</v>
      </c>
      <c r="C905" t="s">
        <v>12</v>
      </c>
      <c r="D905" t="s">
        <v>8</v>
      </c>
      <c r="E905" t="s">
        <v>19</v>
      </c>
    </row>
    <row r="906" spans="1:5" x14ac:dyDescent="0.3">
      <c r="A906" t="s">
        <v>4</v>
      </c>
      <c r="B906" s="1" t="s">
        <v>13</v>
      </c>
      <c r="C906" t="s">
        <v>11</v>
      </c>
      <c r="D906" t="s">
        <v>9</v>
      </c>
      <c r="E906" t="s">
        <v>19</v>
      </c>
    </row>
    <row r="907" spans="1:5" x14ac:dyDescent="0.3">
      <c r="A907" t="s">
        <v>4</v>
      </c>
      <c r="B907" s="1" t="s">
        <v>13</v>
      </c>
      <c r="C907" t="s">
        <v>12</v>
      </c>
      <c r="D907" t="s">
        <v>5</v>
      </c>
      <c r="E907" t="s">
        <v>19</v>
      </c>
    </row>
    <row r="908" spans="1:5" x14ac:dyDescent="0.3">
      <c r="A908" t="s">
        <v>4</v>
      </c>
      <c r="B908" s="1" t="s">
        <v>13</v>
      </c>
      <c r="C908" t="s">
        <v>10</v>
      </c>
      <c r="D908" t="s">
        <v>6</v>
      </c>
      <c r="E908" t="s">
        <v>19</v>
      </c>
    </row>
    <row r="909" spans="1:5" x14ac:dyDescent="0.3">
      <c r="A909" t="s">
        <v>4</v>
      </c>
      <c r="B909" s="1" t="s">
        <v>13</v>
      </c>
      <c r="C909" t="s">
        <v>12</v>
      </c>
      <c r="D909" t="s">
        <v>7</v>
      </c>
      <c r="E909" t="s">
        <v>19</v>
      </c>
    </row>
    <row r="910" spans="1:5" x14ac:dyDescent="0.3">
      <c r="A910" t="s">
        <v>4</v>
      </c>
      <c r="B910" s="1" t="s">
        <v>13</v>
      </c>
      <c r="C910" t="s">
        <v>12</v>
      </c>
      <c r="D910" t="s">
        <v>8</v>
      </c>
      <c r="E910" t="s">
        <v>19</v>
      </c>
    </row>
    <row r="911" spans="1:5" x14ac:dyDescent="0.3">
      <c r="A911" t="s">
        <v>4</v>
      </c>
      <c r="B911" s="1" t="s">
        <v>13</v>
      </c>
      <c r="C911" t="s">
        <v>12</v>
      </c>
      <c r="D911" t="s">
        <v>9</v>
      </c>
      <c r="E911" t="s">
        <v>19</v>
      </c>
    </row>
    <row r="912" spans="1:5" x14ac:dyDescent="0.3">
      <c r="A912" t="s">
        <v>4</v>
      </c>
      <c r="B912" s="1" t="s">
        <v>13</v>
      </c>
      <c r="C912" t="s">
        <v>12</v>
      </c>
      <c r="D912" t="s">
        <v>5</v>
      </c>
      <c r="E912" t="s">
        <v>19</v>
      </c>
    </row>
    <row r="913" spans="1:5" x14ac:dyDescent="0.3">
      <c r="A913" t="s">
        <v>4</v>
      </c>
      <c r="B913" s="1" t="s">
        <v>13</v>
      </c>
      <c r="C913" t="s">
        <v>10</v>
      </c>
      <c r="D913" t="s">
        <v>6</v>
      </c>
      <c r="E913" t="s">
        <v>19</v>
      </c>
    </row>
    <row r="914" spans="1:5" x14ac:dyDescent="0.3">
      <c r="A914" t="s">
        <v>4</v>
      </c>
      <c r="B914" s="1" t="s">
        <v>13</v>
      </c>
      <c r="C914" t="s">
        <v>12</v>
      </c>
      <c r="D914" t="s">
        <v>7</v>
      </c>
      <c r="E914" t="s">
        <v>19</v>
      </c>
    </row>
    <row r="915" spans="1:5" x14ac:dyDescent="0.3">
      <c r="A915" t="s">
        <v>4</v>
      </c>
      <c r="B915" s="1" t="s">
        <v>13</v>
      </c>
      <c r="C915" t="s">
        <v>12</v>
      </c>
      <c r="D915" t="s">
        <v>8</v>
      </c>
      <c r="E915" t="s">
        <v>19</v>
      </c>
    </row>
    <row r="916" spans="1:5" x14ac:dyDescent="0.3">
      <c r="A916" t="s">
        <v>4</v>
      </c>
      <c r="B916" s="1" t="s">
        <v>13</v>
      </c>
      <c r="C916" t="s">
        <v>12</v>
      </c>
      <c r="D916" t="s">
        <v>9</v>
      </c>
      <c r="E916" t="s">
        <v>19</v>
      </c>
    </row>
    <row r="917" spans="1:5" x14ac:dyDescent="0.3">
      <c r="A917" t="s">
        <v>4</v>
      </c>
      <c r="B917" s="1" t="s">
        <v>13</v>
      </c>
      <c r="C917" t="s">
        <v>12</v>
      </c>
      <c r="D917" t="s">
        <v>5</v>
      </c>
      <c r="E917" t="s">
        <v>19</v>
      </c>
    </row>
    <row r="918" spans="1:5" x14ac:dyDescent="0.3">
      <c r="A918" t="s">
        <v>4</v>
      </c>
      <c r="B918" s="1" t="s">
        <v>13</v>
      </c>
      <c r="C918" t="s">
        <v>10</v>
      </c>
      <c r="D918" t="s">
        <v>6</v>
      </c>
      <c r="E918" t="s">
        <v>19</v>
      </c>
    </row>
    <row r="919" spans="1:5" x14ac:dyDescent="0.3">
      <c r="A919" t="s">
        <v>4</v>
      </c>
      <c r="B919" s="1" t="s">
        <v>13</v>
      </c>
      <c r="C919" t="s">
        <v>12</v>
      </c>
      <c r="D919" t="s">
        <v>7</v>
      </c>
      <c r="E919" t="s">
        <v>19</v>
      </c>
    </row>
    <row r="920" spans="1:5" x14ac:dyDescent="0.3">
      <c r="A920" t="s">
        <v>4</v>
      </c>
      <c r="B920" s="1" t="s">
        <v>13</v>
      </c>
      <c r="C920" t="s">
        <v>12</v>
      </c>
      <c r="D920" t="s">
        <v>8</v>
      </c>
      <c r="E920" t="s">
        <v>19</v>
      </c>
    </row>
    <row r="921" spans="1:5" x14ac:dyDescent="0.3">
      <c r="A921" t="s">
        <v>4</v>
      </c>
      <c r="B921" s="1" t="s">
        <v>13</v>
      </c>
      <c r="C921" t="s">
        <v>12</v>
      </c>
      <c r="D921" t="s">
        <v>9</v>
      </c>
      <c r="E921" t="s">
        <v>19</v>
      </c>
    </row>
    <row r="922" spans="1:5" x14ac:dyDescent="0.3">
      <c r="A922" t="s">
        <v>4</v>
      </c>
      <c r="B922" s="1" t="s">
        <v>13</v>
      </c>
      <c r="C922" t="s">
        <v>12</v>
      </c>
      <c r="D922" t="s">
        <v>5</v>
      </c>
      <c r="E922" t="s">
        <v>19</v>
      </c>
    </row>
    <row r="923" spans="1:5" x14ac:dyDescent="0.3">
      <c r="A923" t="s">
        <v>4</v>
      </c>
      <c r="B923" s="1" t="s">
        <v>13</v>
      </c>
      <c r="C923" t="s">
        <v>10</v>
      </c>
      <c r="D923" t="s">
        <v>6</v>
      </c>
      <c r="E923" t="s">
        <v>19</v>
      </c>
    </row>
    <row r="924" spans="1:5" x14ac:dyDescent="0.3">
      <c r="A924" t="s">
        <v>4</v>
      </c>
      <c r="B924" s="1" t="s">
        <v>13</v>
      </c>
      <c r="C924" t="s">
        <v>12</v>
      </c>
      <c r="D924" t="s">
        <v>7</v>
      </c>
      <c r="E924" t="s">
        <v>19</v>
      </c>
    </row>
    <row r="925" spans="1:5" x14ac:dyDescent="0.3">
      <c r="A925" t="s">
        <v>4</v>
      </c>
      <c r="B925" s="1" t="s">
        <v>13</v>
      </c>
      <c r="C925" t="s">
        <v>11</v>
      </c>
      <c r="D925" t="s">
        <v>8</v>
      </c>
      <c r="E925" t="s">
        <v>19</v>
      </c>
    </row>
    <row r="926" spans="1:5" x14ac:dyDescent="0.3">
      <c r="A926" t="s">
        <v>4</v>
      </c>
      <c r="B926" s="1" t="s">
        <v>13</v>
      </c>
      <c r="C926" t="s">
        <v>11</v>
      </c>
      <c r="D926" t="s">
        <v>9</v>
      </c>
      <c r="E926" t="s">
        <v>19</v>
      </c>
    </row>
    <row r="927" spans="1:5" x14ac:dyDescent="0.3">
      <c r="A927" t="s">
        <v>4</v>
      </c>
      <c r="B927" s="1" t="s">
        <v>13</v>
      </c>
      <c r="C927" t="s">
        <v>12</v>
      </c>
      <c r="D927" t="s">
        <v>5</v>
      </c>
      <c r="E927" t="s">
        <v>19</v>
      </c>
    </row>
    <row r="928" spans="1:5" x14ac:dyDescent="0.3">
      <c r="A928" t="s">
        <v>4</v>
      </c>
      <c r="B928" s="1" t="s">
        <v>13</v>
      </c>
      <c r="C928" t="s">
        <v>10</v>
      </c>
      <c r="D928" t="s">
        <v>6</v>
      </c>
      <c r="E928" t="s">
        <v>19</v>
      </c>
    </row>
    <row r="929" spans="1:5" x14ac:dyDescent="0.3">
      <c r="A929" t="s">
        <v>4</v>
      </c>
      <c r="B929" s="1" t="s">
        <v>13</v>
      </c>
      <c r="C929" t="s">
        <v>12</v>
      </c>
      <c r="D929" t="s">
        <v>7</v>
      </c>
      <c r="E929" t="s">
        <v>19</v>
      </c>
    </row>
    <row r="930" spans="1:5" x14ac:dyDescent="0.3">
      <c r="A930" t="s">
        <v>4</v>
      </c>
      <c r="B930" s="1" t="s">
        <v>13</v>
      </c>
      <c r="C930" t="s">
        <v>12</v>
      </c>
      <c r="D930" t="s">
        <v>8</v>
      </c>
      <c r="E930" t="s">
        <v>19</v>
      </c>
    </row>
    <row r="931" spans="1:5" x14ac:dyDescent="0.3">
      <c r="A931" t="s">
        <v>4</v>
      </c>
      <c r="B931" s="1" t="s">
        <v>13</v>
      </c>
      <c r="C931" t="s">
        <v>12</v>
      </c>
      <c r="D931" t="s">
        <v>9</v>
      </c>
      <c r="E931" t="s">
        <v>19</v>
      </c>
    </row>
    <row r="932" spans="1:5" x14ac:dyDescent="0.3">
      <c r="A932" t="s">
        <v>4</v>
      </c>
      <c r="B932" s="1" t="s">
        <v>13</v>
      </c>
      <c r="C932" t="s">
        <v>12</v>
      </c>
      <c r="D932" t="s">
        <v>5</v>
      </c>
      <c r="E932" t="s">
        <v>19</v>
      </c>
    </row>
    <row r="933" spans="1:5" x14ac:dyDescent="0.3">
      <c r="A933" t="s">
        <v>4</v>
      </c>
      <c r="B933" s="1" t="s">
        <v>13</v>
      </c>
      <c r="C933" t="s">
        <v>10</v>
      </c>
      <c r="D933" t="s">
        <v>6</v>
      </c>
      <c r="E933" t="s">
        <v>19</v>
      </c>
    </row>
    <row r="934" spans="1:5" x14ac:dyDescent="0.3">
      <c r="A934" t="s">
        <v>4</v>
      </c>
      <c r="B934" s="1" t="s">
        <v>13</v>
      </c>
      <c r="C934" t="s">
        <v>12</v>
      </c>
      <c r="D934" t="s">
        <v>7</v>
      </c>
      <c r="E934" t="s">
        <v>19</v>
      </c>
    </row>
    <row r="935" spans="1:5" x14ac:dyDescent="0.3">
      <c r="A935" t="s">
        <v>4</v>
      </c>
      <c r="B935" s="1" t="s">
        <v>13</v>
      </c>
      <c r="C935" t="s">
        <v>12</v>
      </c>
      <c r="D935" t="s">
        <v>8</v>
      </c>
      <c r="E935" t="s">
        <v>19</v>
      </c>
    </row>
    <row r="936" spans="1:5" x14ac:dyDescent="0.3">
      <c r="A936" t="s">
        <v>4</v>
      </c>
      <c r="B936" s="1" t="s">
        <v>13</v>
      </c>
      <c r="C936" t="s">
        <v>12</v>
      </c>
      <c r="D936" t="s">
        <v>9</v>
      </c>
      <c r="E936" t="s">
        <v>19</v>
      </c>
    </row>
    <row r="937" spans="1:5" x14ac:dyDescent="0.3">
      <c r="A937" t="s">
        <v>4</v>
      </c>
      <c r="B937" s="1" t="s">
        <v>13</v>
      </c>
      <c r="C937" t="s">
        <v>12</v>
      </c>
      <c r="D937" t="s">
        <v>5</v>
      </c>
      <c r="E937" t="s">
        <v>19</v>
      </c>
    </row>
    <row r="938" spans="1:5" x14ac:dyDescent="0.3">
      <c r="A938" t="s">
        <v>4</v>
      </c>
      <c r="B938" s="1" t="s">
        <v>13</v>
      </c>
      <c r="C938" t="s">
        <v>10</v>
      </c>
      <c r="D938" t="s">
        <v>6</v>
      </c>
      <c r="E938" t="s">
        <v>19</v>
      </c>
    </row>
    <row r="939" spans="1:5" x14ac:dyDescent="0.3">
      <c r="A939" t="s">
        <v>4</v>
      </c>
      <c r="B939" s="1" t="s">
        <v>13</v>
      </c>
      <c r="C939" t="s">
        <v>12</v>
      </c>
      <c r="D939" t="s">
        <v>7</v>
      </c>
      <c r="E939" t="s">
        <v>19</v>
      </c>
    </row>
    <row r="940" spans="1:5" x14ac:dyDescent="0.3">
      <c r="A940" t="s">
        <v>4</v>
      </c>
      <c r="B940" s="1" t="s">
        <v>13</v>
      </c>
      <c r="C940" t="s">
        <v>11</v>
      </c>
      <c r="D940" t="s">
        <v>8</v>
      </c>
      <c r="E940" t="s">
        <v>19</v>
      </c>
    </row>
    <row r="941" spans="1:5" x14ac:dyDescent="0.3">
      <c r="A941" t="s">
        <v>4</v>
      </c>
      <c r="B941" s="1" t="s">
        <v>13</v>
      </c>
      <c r="C941" t="s">
        <v>11</v>
      </c>
      <c r="D941" t="s">
        <v>9</v>
      </c>
      <c r="E941" t="s">
        <v>19</v>
      </c>
    </row>
    <row r="942" spans="1:5" x14ac:dyDescent="0.3">
      <c r="A942" t="s">
        <v>4</v>
      </c>
      <c r="B942" s="1" t="s">
        <v>13</v>
      </c>
      <c r="C942" t="s">
        <v>12</v>
      </c>
      <c r="D942" t="s">
        <v>5</v>
      </c>
      <c r="E942" t="s">
        <v>19</v>
      </c>
    </row>
    <row r="943" spans="1:5" x14ac:dyDescent="0.3">
      <c r="A943" t="s">
        <v>4</v>
      </c>
      <c r="B943" s="1" t="s">
        <v>13</v>
      </c>
      <c r="C943" t="s">
        <v>10</v>
      </c>
      <c r="D943" t="s">
        <v>6</v>
      </c>
      <c r="E943" t="s">
        <v>19</v>
      </c>
    </row>
    <row r="944" spans="1:5" x14ac:dyDescent="0.3">
      <c r="A944" t="s">
        <v>4</v>
      </c>
      <c r="B944" s="1" t="s">
        <v>13</v>
      </c>
      <c r="C944" t="s">
        <v>12</v>
      </c>
      <c r="D944" t="s">
        <v>7</v>
      </c>
      <c r="E944" t="s">
        <v>19</v>
      </c>
    </row>
    <row r="945" spans="1:5" x14ac:dyDescent="0.3">
      <c r="A945" t="s">
        <v>4</v>
      </c>
      <c r="B945" s="1" t="s">
        <v>13</v>
      </c>
      <c r="C945" t="s">
        <v>12</v>
      </c>
      <c r="D945" t="s">
        <v>8</v>
      </c>
      <c r="E945" t="s">
        <v>19</v>
      </c>
    </row>
    <row r="946" spans="1:5" x14ac:dyDescent="0.3">
      <c r="A946" t="s">
        <v>4</v>
      </c>
      <c r="B946" s="1" t="s">
        <v>13</v>
      </c>
      <c r="C946" t="s">
        <v>12</v>
      </c>
      <c r="D946" t="s">
        <v>9</v>
      </c>
      <c r="E946" t="s">
        <v>19</v>
      </c>
    </row>
    <row r="947" spans="1:5" x14ac:dyDescent="0.3">
      <c r="A947" t="s">
        <v>4</v>
      </c>
      <c r="B947" s="1" t="s">
        <v>13</v>
      </c>
      <c r="C947" t="s">
        <v>12</v>
      </c>
      <c r="D947" t="s">
        <v>5</v>
      </c>
      <c r="E947" t="s">
        <v>19</v>
      </c>
    </row>
    <row r="948" spans="1:5" x14ac:dyDescent="0.3">
      <c r="A948" t="s">
        <v>4</v>
      </c>
      <c r="B948" s="1" t="s">
        <v>13</v>
      </c>
      <c r="C948" t="s">
        <v>10</v>
      </c>
      <c r="D948" t="s">
        <v>6</v>
      </c>
      <c r="E948" t="s">
        <v>19</v>
      </c>
    </row>
    <row r="949" spans="1:5" x14ac:dyDescent="0.3">
      <c r="A949" t="s">
        <v>4</v>
      </c>
      <c r="B949" s="1" t="s">
        <v>13</v>
      </c>
      <c r="C949" t="s">
        <v>11</v>
      </c>
      <c r="D949" t="s">
        <v>7</v>
      </c>
      <c r="E949" t="s">
        <v>19</v>
      </c>
    </row>
    <row r="950" spans="1:5" x14ac:dyDescent="0.3">
      <c r="A950" t="s">
        <v>4</v>
      </c>
      <c r="B950" s="1" t="s">
        <v>13</v>
      </c>
      <c r="C950" t="s">
        <v>12</v>
      </c>
      <c r="D950" t="s">
        <v>8</v>
      </c>
      <c r="E950" t="s">
        <v>19</v>
      </c>
    </row>
    <row r="951" spans="1:5" x14ac:dyDescent="0.3">
      <c r="A951" t="s">
        <v>4</v>
      </c>
      <c r="B951" s="1" t="s">
        <v>13</v>
      </c>
      <c r="C951" t="s">
        <v>12</v>
      </c>
      <c r="D951" t="s">
        <v>9</v>
      </c>
      <c r="E951" t="s">
        <v>19</v>
      </c>
    </row>
    <row r="952" spans="1:5" x14ac:dyDescent="0.3">
      <c r="A952" t="s">
        <v>4</v>
      </c>
      <c r="B952" s="1" t="s">
        <v>13</v>
      </c>
      <c r="C952" t="s">
        <v>12</v>
      </c>
      <c r="D952" t="s">
        <v>5</v>
      </c>
      <c r="E952" t="s">
        <v>19</v>
      </c>
    </row>
    <row r="953" spans="1:5" x14ac:dyDescent="0.3">
      <c r="A953" t="s">
        <v>4</v>
      </c>
      <c r="B953" s="1" t="s">
        <v>13</v>
      </c>
      <c r="C953" t="s">
        <v>10</v>
      </c>
      <c r="D953" t="s">
        <v>6</v>
      </c>
      <c r="E953" t="s">
        <v>19</v>
      </c>
    </row>
    <row r="954" spans="1:5" x14ac:dyDescent="0.3">
      <c r="A954" t="s">
        <v>4</v>
      </c>
      <c r="B954" s="1" t="s">
        <v>13</v>
      </c>
      <c r="C954" t="s">
        <v>12</v>
      </c>
      <c r="D954" t="s">
        <v>7</v>
      </c>
      <c r="E954" t="s">
        <v>19</v>
      </c>
    </row>
    <row r="955" spans="1:5" x14ac:dyDescent="0.3">
      <c r="A955" t="s">
        <v>4</v>
      </c>
      <c r="B955" s="1" t="s">
        <v>13</v>
      </c>
      <c r="C955" t="s">
        <v>12</v>
      </c>
      <c r="D955" t="s">
        <v>8</v>
      </c>
      <c r="E955" t="s">
        <v>19</v>
      </c>
    </row>
    <row r="956" spans="1:5" x14ac:dyDescent="0.3">
      <c r="A956" t="s">
        <v>4</v>
      </c>
      <c r="B956" s="1" t="s">
        <v>13</v>
      </c>
      <c r="C956" t="s">
        <v>12</v>
      </c>
      <c r="D956" t="s">
        <v>9</v>
      </c>
      <c r="E956" t="s">
        <v>19</v>
      </c>
    </row>
    <row r="957" spans="1:5" x14ac:dyDescent="0.3">
      <c r="A957" t="s">
        <v>4</v>
      </c>
      <c r="B957" s="1" t="s">
        <v>13</v>
      </c>
      <c r="C957" t="s">
        <v>12</v>
      </c>
      <c r="D957" t="s">
        <v>5</v>
      </c>
      <c r="E957" t="s">
        <v>19</v>
      </c>
    </row>
    <row r="958" spans="1:5" x14ac:dyDescent="0.3">
      <c r="A958" t="s">
        <v>4</v>
      </c>
      <c r="B958" s="1" t="s">
        <v>13</v>
      </c>
      <c r="C958" t="s">
        <v>10</v>
      </c>
      <c r="D958" t="s">
        <v>6</v>
      </c>
      <c r="E958" t="s">
        <v>19</v>
      </c>
    </row>
    <row r="959" spans="1:5" x14ac:dyDescent="0.3">
      <c r="A959" t="s">
        <v>4</v>
      </c>
      <c r="B959" s="1" t="s">
        <v>13</v>
      </c>
      <c r="C959" t="s">
        <v>12</v>
      </c>
      <c r="D959" t="s">
        <v>7</v>
      </c>
      <c r="E959" t="s">
        <v>19</v>
      </c>
    </row>
    <row r="960" spans="1:5" x14ac:dyDescent="0.3">
      <c r="A960" t="s">
        <v>4</v>
      </c>
      <c r="B960" s="1" t="s">
        <v>13</v>
      </c>
      <c r="C960" t="s">
        <v>12</v>
      </c>
      <c r="D960" t="s">
        <v>8</v>
      </c>
      <c r="E960" t="s">
        <v>19</v>
      </c>
    </row>
    <row r="961" spans="1:5" x14ac:dyDescent="0.3">
      <c r="A961" t="s">
        <v>4</v>
      </c>
      <c r="B961" s="1" t="s">
        <v>13</v>
      </c>
      <c r="C961" t="s">
        <v>12</v>
      </c>
      <c r="D961" t="s">
        <v>9</v>
      </c>
      <c r="E961" t="s">
        <v>19</v>
      </c>
    </row>
    <row r="962" spans="1:5" x14ac:dyDescent="0.3">
      <c r="A962" t="s">
        <v>4</v>
      </c>
      <c r="B962" s="1" t="s">
        <v>13</v>
      </c>
      <c r="C962" t="s">
        <v>12</v>
      </c>
      <c r="D962" t="s">
        <v>5</v>
      </c>
      <c r="E962" t="s">
        <v>19</v>
      </c>
    </row>
    <row r="963" spans="1:5" x14ac:dyDescent="0.3">
      <c r="A963" t="s">
        <v>4</v>
      </c>
      <c r="B963" s="1" t="s">
        <v>13</v>
      </c>
      <c r="C963" t="s">
        <v>10</v>
      </c>
      <c r="D963" t="s">
        <v>6</v>
      </c>
      <c r="E963" t="s">
        <v>19</v>
      </c>
    </row>
    <row r="964" spans="1:5" x14ac:dyDescent="0.3">
      <c r="A964" t="s">
        <v>4</v>
      </c>
      <c r="B964" s="1" t="s">
        <v>13</v>
      </c>
      <c r="C964" t="s">
        <v>12</v>
      </c>
      <c r="D964" t="s">
        <v>7</v>
      </c>
      <c r="E964" t="s">
        <v>19</v>
      </c>
    </row>
    <row r="965" spans="1:5" x14ac:dyDescent="0.3">
      <c r="A965" t="s">
        <v>4</v>
      </c>
      <c r="B965" s="1" t="s">
        <v>13</v>
      </c>
      <c r="C965" t="s">
        <v>12</v>
      </c>
      <c r="D965" t="s">
        <v>8</v>
      </c>
      <c r="E965" t="s">
        <v>19</v>
      </c>
    </row>
    <row r="966" spans="1:5" x14ac:dyDescent="0.3">
      <c r="A966" t="s">
        <v>4</v>
      </c>
      <c r="B966" s="1" t="s">
        <v>13</v>
      </c>
      <c r="C966" t="s">
        <v>12</v>
      </c>
      <c r="D966" t="s">
        <v>9</v>
      </c>
      <c r="E966" t="s">
        <v>19</v>
      </c>
    </row>
    <row r="967" spans="1:5" x14ac:dyDescent="0.3">
      <c r="A967" t="s">
        <v>4</v>
      </c>
      <c r="B967" s="1" t="s">
        <v>13</v>
      </c>
      <c r="C967" t="s">
        <v>12</v>
      </c>
      <c r="D967" t="s">
        <v>5</v>
      </c>
      <c r="E967" t="s">
        <v>19</v>
      </c>
    </row>
    <row r="968" spans="1:5" x14ac:dyDescent="0.3">
      <c r="A968" t="s">
        <v>4</v>
      </c>
      <c r="B968" s="1" t="s">
        <v>13</v>
      </c>
      <c r="C968" t="s">
        <v>10</v>
      </c>
      <c r="D968" t="s">
        <v>6</v>
      </c>
      <c r="E968" t="s">
        <v>19</v>
      </c>
    </row>
    <row r="969" spans="1:5" x14ac:dyDescent="0.3">
      <c r="A969" t="s">
        <v>4</v>
      </c>
      <c r="B969" s="1" t="s">
        <v>13</v>
      </c>
      <c r="C969" t="s">
        <v>11</v>
      </c>
      <c r="D969" t="s">
        <v>7</v>
      </c>
      <c r="E969" t="s">
        <v>19</v>
      </c>
    </row>
    <row r="970" spans="1:5" x14ac:dyDescent="0.3">
      <c r="A970" t="s">
        <v>4</v>
      </c>
      <c r="B970" s="1" t="s">
        <v>13</v>
      </c>
      <c r="C970" t="s">
        <v>12</v>
      </c>
      <c r="D970" t="s">
        <v>8</v>
      </c>
      <c r="E970" t="s">
        <v>19</v>
      </c>
    </row>
    <row r="971" spans="1:5" x14ac:dyDescent="0.3">
      <c r="A971" t="s">
        <v>4</v>
      </c>
      <c r="B971" s="1" t="s">
        <v>13</v>
      </c>
      <c r="C971" t="s">
        <v>12</v>
      </c>
      <c r="D971" t="s">
        <v>9</v>
      </c>
      <c r="E971" t="s">
        <v>19</v>
      </c>
    </row>
    <row r="972" spans="1:5" x14ac:dyDescent="0.3">
      <c r="A972" t="s">
        <v>4</v>
      </c>
      <c r="B972" s="1" t="s">
        <v>13</v>
      </c>
      <c r="C972" t="s">
        <v>12</v>
      </c>
      <c r="D972" t="s">
        <v>5</v>
      </c>
      <c r="E972" t="s">
        <v>19</v>
      </c>
    </row>
    <row r="973" spans="1:5" x14ac:dyDescent="0.3">
      <c r="A973" t="s">
        <v>4</v>
      </c>
      <c r="B973" s="1" t="s">
        <v>13</v>
      </c>
      <c r="C973" t="s">
        <v>10</v>
      </c>
      <c r="D973" t="s">
        <v>6</v>
      </c>
      <c r="E973" t="s">
        <v>19</v>
      </c>
    </row>
    <row r="974" spans="1:5" x14ac:dyDescent="0.3">
      <c r="A974" t="s">
        <v>4</v>
      </c>
      <c r="B974" s="1" t="s">
        <v>13</v>
      </c>
      <c r="C974" t="s">
        <v>12</v>
      </c>
      <c r="D974" t="s">
        <v>7</v>
      </c>
      <c r="E974" t="s">
        <v>19</v>
      </c>
    </row>
    <row r="975" spans="1:5" x14ac:dyDescent="0.3">
      <c r="A975" t="s">
        <v>4</v>
      </c>
      <c r="B975" s="1" t="s">
        <v>13</v>
      </c>
      <c r="C975" t="s">
        <v>12</v>
      </c>
      <c r="D975" t="s">
        <v>8</v>
      </c>
      <c r="E975" t="s">
        <v>19</v>
      </c>
    </row>
    <row r="976" spans="1:5" x14ac:dyDescent="0.3">
      <c r="A976" t="s">
        <v>4</v>
      </c>
      <c r="B976" s="1" t="s">
        <v>13</v>
      </c>
      <c r="C976" t="s">
        <v>12</v>
      </c>
      <c r="D976" t="s">
        <v>9</v>
      </c>
      <c r="E976" t="s">
        <v>19</v>
      </c>
    </row>
    <row r="977" spans="1:5" x14ac:dyDescent="0.3">
      <c r="A977" t="s">
        <v>4</v>
      </c>
      <c r="B977" s="1" t="s">
        <v>13</v>
      </c>
      <c r="C977" t="s">
        <v>12</v>
      </c>
      <c r="D977" t="s">
        <v>5</v>
      </c>
      <c r="E977" t="s">
        <v>19</v>
      </c>
    </row>
    <row r="978" spans="1:5" x14ac:dyDescent="0.3">
      <c r="A978" t="s">
        <v>4</v>
      </c>
      <c r="B978" s="1" t="s">
        <v>13</v>
      </c>
      <c r="C978" t="s">
        <v>10</v>
      </c>
      <c r="D978" t="s">
        <v>6</v>
      </c>
      <c r="E978" t="s">
        <v>19</v>
      </c>
    </row>
    <row r="979" spans="1:5" x14ac:dyDescent="0.3">
      <c r="A979" t="s">
        <v>4</v>
      </c>
      <c r="B979" s="1" t="s">
        <v>13</v>
      </c>
      <c r="C979" t="s">
        <v>11</v>
      </c>
      <c r="D979" t="s">
        <v>7</v>
      </c>
      <c r="E979" t="s">
        <v>19</v>
      </c>
    </row>
    <row r="980" spans="1:5" x14ac:dyDescent="0.3">
      <c r="A980" t="s">
        <v>4</v>
      </c>
      <c r="B980" s="1" t="s">
        <v>13</v>
      </c>
      <c r="C980" t="s">
        <v>12</v>
      </c>
      <c r="D980" t="s">
        <v>8</v>
      </c>
      <c r="E980" t="s">
        <v>19</v>
      </c>
    </row>
    <row r="981" spans="1:5" x14ac:dyDescent="0.3">
      <c r="A981" t="s">
        <v>4</v>
      </c>
      <c r="B981" s="1" t="s">
        <v>13</v>
      </c>
      <c r="C981" t="s">
        <v>12</v>
      </c>
      <c r="D981" t="s">
        <v>9</v>
      </c>
      <c r="E981" t="s">
        <v>19</v>
      </c>
    </row>
    <row r="982" spans="1:5" x14ac:dyDescent="0.3">
      <c r="A982" t="s">
        <v>4</v>
      </c>
      <c r="B982" s="1" t="s">
        <v>13</v>
      </c>
      <c r="C982" t="s">
        <v>12</v>
      </c>
      <c r="D982" t="s">
        <v>5</v>
      </c>
      <c r="E982" t="s">
        <v>19</v>
      </c>
    </row>
    <row r="983" spans="1:5" x14ac:dyDescent="0.3">
      <c r="A983" t="s">
        <v>4</v>
      </c>
      <c r="B983" s="1" t="s">
        <v>13</v>
      </c>
      <c r="C983" t="s">
        <v>10</v>
      </c>
      <c r="D983" t="s">
        <v>6</v>
      </c>
      <c r="E983" t="s">
        <v>19</v>
      </c>
    </row>
    <row r="984" spans="1:5" x14ac:dyDescent="0.3">
      <c r="A984" t="s">
        <v>4</v>
      </c>
      <c r="B984" s="1" t="s">
        <v>13</v>
      </c>
      <c r="C984" t="s">
        <v>12</v>
      </c>
      <c r="D984" t="s">
        <v>7</v>
      </c>
      <c r="E984" t="s">
        <v>19</v>
      </c>
    </row>
    <row r="985" spans="1:5" x14ac:dyDescent="0.3">
      <c r="A985" t="s">
        <v>4</v>
      </c>
      <c r="B985" s="1" t="s">
        <v>13</v>
      </c>
      <c r="C985" t="s">
        <v>12</v>
      </c>
      <c r="D985" t="s">
        <v>8</v>
      </c>
      <c r="E985" t="s">
        <v>19</v>
      </c>
    </row>
    <row r="986" spans="1:5" x14ac:dyDescent="0.3">
      <c r="A986" t="s">
        <v>4</v>
      </c>
      <c r="B986" s="1" t="s">
        <v>13</v>
      </c>
      <c r="C986" t="s">
        <v>12</v>
      </c>
      <c r="D986" t="s">
        <v>9</v>
      </c>
      <c r="E986" t="s">
        <v>19</v>
      </c>
    </row>
    <row r="987" spans="1:5" x14ac:dyDescent="0.3">
      <c r="A987" t="s">
        <v>4</v>
      </c>
      <c r="B987" s="1" t="s">
        <v>13</v>
      </c>
      <c r="C987" t="s">
        <v>12</v>
      </c>
      <c r="D987" t="s">
        <v>5</v>
      </c>
      <c r="E987" t="s">
        <v>19</v>
      </c>
    </row>
    <row r="988" spans="1:5" x14ac:dyDescent="0.3">
      <c r="A988" t="s">
        <v>4</v>
      </c>
      <c r="B988" s="1" t="s">
        <v>13</v>
      </c>
      <c r="C988" t="s">
        <v>10</v>
      </c>
      <c r="D988" t="s">
        <v>6</v>
      </c>
      <c r="E988" t="s">
        <v>19</v>
      </c>
    </row>
    <row r="989" spans="1:5" x14ac:dyDescent="0.3">
      <c r="A989" t="s">
        <v>4</v>
      </c>
      <c r="B989" s="1" t="s">
        <v>13</v>
      </c>
      <c r="C989" t="s">
        <v>11</v>
      </c>
      <c r="D989" t="s">
        <v>7</v>
      </c>
      <c r="E989" t="s">
        <v>19</v>
      </c>
    </row>
    <row r="990" spans="1:5" x14ac:dyDescent="0.3">
      <c r="A990" t="s">
        <v>4</v>
      </c>
      <c r="B990" s="1" t="s">
        <v>13</v>
      </c>
      <c r="C990" t="s">
        <v>12</v>
      </c>
      <c r="D990" t="s">
        <v>8</v>
      </c>
      <c r="E990" t="s">
        <v>19</v>
      </c>
    </row>
    <row r="991" spans="1:5" x14ac:dyDescent="0.3">
      <c r="A991" t="s">
        <v>4</v>
      </c>
      <c r="B991" s="1" t="s">
        <v>13</v>
      </c>
      <c r="C991" t="s">
        <v>12</v>
      </c>
      <c r="D991" t="s">
        <v>9</v>
      </c>
      <c r="E991" t="s">
        <v>19</v>
      </c>
    </row>
    <row r="992" spans="1:5" x14ac:dyDescent="0.3">
      <c r="A992" t="s">
        <v>4</v>
      </c>
      <c r="B992" s="1" t="s">
        <v>13</v>
      </c>
      <c r="C992" t="s">
        <v>12</v>
      </c>
      <c r="D992" t="s">
        <v>5</v>
      </c>
      <c r="E992" t="s">
        <v>19</v>
      </c>
    </row>
    <row r="993" spans="1:5" x14ac:dyDescent="0.3">
      <c r="A993" t="s">
        <v>4</v>
      </c>
      <c r="B993" s="1" t="s">
        <v>13</v>
      </c>
      <c r="C993" t="s">
        <v>10</v>
      </c>
      <c r="D993" t="s">
        <v>6</v>
      </c>
      <c r="E993" t="s">
        <v>19</v>
      </c>
    </row>
    <row r="994" spans="1:5" x14ac:dyDescent="0.3">
      <c r="A994" t="s">
        <v>4</v>
      </c>
      <c r="B994" s="1" t="s">
        <v>13</v>
      </c>
      <c r="C994" t="s">
        <v>12</v>
      </c>
      <c r="D994" t="s">
        <v>7</v>
      </c>
      <c r="E994" t="s">
        <v>19</v>
      </c>
    </row>
    <row r="995" spans="1:5" x14ac:dyDescent="0.3">
      <c r="A995" t="s">
        <v>4</v>
      </c>
      <c r="B995" s="1" t="s">
        <v>13</v>
      </c>
      <c r="C995" t="s">
        <v>12</v>
      </c>
      <c r="D995" t="s">
        <v>8</v>
      </c>
      <c r="E995" t="s">
        <v>19</v>
      </c>
    </row>
    <row r="996" spans="1:5" x14ac:dyDescent="0.3">
      <c r="A996" t="s">
        <v>4</v>
      </c>
      <c r="B996" s="1" t="s">
        <v>13</v>
      </c>
      <c r="C996" t="s">
        <v>12</v>
      </c>
      <c r="D996" t="s">
        <v>9</v>
      </c>
      <c r="E996" t="s">
        <v>19</v>
      </c>
    </row>
    <row r="997" spans="1:5" x14ac:dyDescent="0.3">
      <c r="A997" t="s">
        <v>4</v>
      </c>
      <c r="B997" s="1" t="s">
        <v>13</v>
      </c>
      <c r="C997" t="s">
        <v>12</v>
      </c>
      <c r="D997" t="s">
        <v>5</v>
      </c>
      <c r="E997" t="s">
        <v>19</v>
      </c>
    </row>
    <row r="998" spans="1:5" x14ac:dyDescent="0.3">
      <c r="A998" t="s">
        <v>4</v>
      </c>
      <c r="B998" s="1" t="s">
        <v>13</v>
      </c>
      <c r="C998" t="s">
        <v>10</v>
      </c>
      <c r="D998" t="s">
        <v>6</v>
      </c>
      <c r="E998" t="s">
        <v>19</v>
      </c>
    </row>
    <row r="999" spans="1:5" x14ac:dyDescent="0.3">
      <c r="A999" t="s">
        <v>4</v>
      </c>
      <c r="B999" s="1" t="s">
        <v>13</v>
      </c>
      <c r="C999" t="s">
        <v>12</v>
      </c>
      <c r="D999" t="s">
        <v>7</v>
      </c>
      <c r="E999" t="s">
        <v>19</v>
      </c>
    </row>
    <row r="1000" spans="1:5" x14ac:dyDescent="0.3">
      <c r="A1000" t="s">
        <v>4</v>
      </c>
      <c r="B1000" s="1" t="s">
        <v>13</v>
      </c>
      <c r="C1000" t="s">
        <v>12</v>
      </c>
      <c r="D1000" t="s">
        <v>8</v>
      </c>
      <c r="E1000" t="s">
        <v>19</v>
      </c>
    </row>
    <row r="1001" spans="1:5" x14ac:dyDescent="0.3">
      <c r="A1001" t="s">
        <v>4</v>
      </c>
      <c r="B1001" s="1" t="s">
        <v>13</v>
      </c>
      <c r="C1001" t="s">
        <v>11</v>
      </c>
      <c r="D1001" t="s">
        <v>9</v>
      </c>
      <c r="E1001" t="s">
        <v>19</v>
      </c>
    </row>
    <row r="1002" spans="1:5" x14ac:dyDescent="0.3">
      <c r="A1002" t="s">
        <v>4</v>
      </c>
      <c r="B1002" s="1" t="s">
        <v>13</v>
      </c>
      <c r="C1002" t="s">
        <v>12</v>
      </c>
      <c r="D1002" t="s">
        <v>5</v>
      </c>
      <c r="E1002" t="s">
        <v>19</v>
      </c>
    </row>
    <row r="1003" spans="1:5" x14ac:dyDescent="0.3">
      <c r="A1003" t="s">
        <v>4</v>
      </c>
      <c r="B1003" s="1" t="s">
        <v>13</v>
      </c>
      <c r="C1003" t="s">
        <v>10</v>
      </c>
      <c r="D1003" t="s">
        <v>6</v>
      </c>
      <c r="E1003" t="s">
        <v>19</v>
      </c>
    </row>
    <row r="1004" spans="1:5" x14ac:dyDescent="0.3">
      <c r="A1004" t="s">
        <v>4</v>
      </c>
      <c r="B1004" s="1" t="s">
        <v>13</v>
      </c>
      <c r="C1004" t="s">
        <v>11</v>
      </c>
      <c r="D1004" t="s">
        <v>7</v>
      </c>
      <c r="E1004" t="s">
        <v>19</v>
      </c>
    </row>
    <row r="1005" spans="1:5" x14ac:dyDescent="0.3">
      <c r="A1005" t="s">
        <v>4</v>
      </c>
      <c r="B1005" s="1" t="s">
        <v>13</v>
      </c>
      <c r="C1005" t="s">
        <v>10</v>
      </c>
      <c r="D1005" t="s">
        <v>8</v>
      </c>
      <c r="E1005" t="s">
        <v>19</v>
      </c>
    </row>
    <row r="1006" spans="1:5" x14ac:dyDescent="0.3">
      <c r="A1006" t="s">
        <v>4</v>
      </c>
      <c r="B1006" s="1" t="s">
        <v>13</v>
      </c>
      <c r="C1006" t="s">
        <v>11</v>
      </c>
      <c r="D1006" t="s">
        <v>9</v>
      </c>
      <c r="E1006" t="s">
        <v>19</v>
      </c>
    </row>
    <row r="1007" spans="1:5" x14ac:dyDescent="0.3">
      <c r="A1007" t="s">
        <v>4</v>
      </c>
      <c r="B1007" s="1" t="s">
        <v>13</v>
      </c>
      <c r="C1007" t="s">
        <v>12</v>
      </c>
      <c r="D1007" t="s">
        <v>5</v>
      </c>
      <c r="E1007" t="s">
        <v>19</v>
      </c>
    </row>
    <row r="1008" spans="1:5" x14ac:dyDescent="0.3">
      <c r="A1008" t="s">
        <v>4</v>
      </c>
      <c r="B1008" s="1" t="s">
        <v>13</v>
      </c>
      <c r="C1008" t="s">
        <v>10</v>
      </c>
      <c r="D1008" t="s">
        <v>6</v>
      </c>
      <c r="E1008" t="s">
        <v>19</v>
      </c>
    </row>
    <row r="1009" spans="1:5" x14ac:dyDescent="0.3">
      <c r="A1009" t="s">
        <v>4</v>
      </c>
      <c r="B1009" s="1" t="s">
        <v>13</v>
      </c>
      <c r="C1009" t="s">
        <v>12</v>
      </c>
      <c r="D1009" t="s">
        <v>7</v>
      </c>
      <c r="E1009" t="s">
        <v>19</v>
      </c>
    </row>
    <row r="1010" spans="1:5" x14ac:dyDescent="0.3">
      <c r="A1010" t="s">
        <v>4</v>
      </c>
      <c r="B1010" s="1" t="s">
        <v>13</v>
      </c>
      <c r="C1010" t="s">
        <v>12</v>
      </c>
      <c r="D1010" t="s">
        <v>8</v>
      </c>
      <c r="E1010" t="s">
        <v>19</v>
      </c>
    </row>
    <row r="1011" spans="1:5" x14ac:dyDescent="0.3">
      <c r="A1011" t="s">
        <v>4</v>
      </c>
      <c r="B1011" s="1" t="s">
        <v>13</v>
      </c>
      <c r="C1011" t="s">
        <v>11</v>
      </c>
      <c r="D1011" t="s">
        <v>9</v>
      </c>
      <c r="E1011" t="s">
        <v>19</v>
      </c>
    </row>
    <row r="1012" spans="1:5" x14ac:dyDescent="0.3">
      <c r="A1012" t="s">
        <v>4</v>
      </c>
      <c r="B1012" s="1" t="s">
        <v>13</v>
      </c>
      <c r="C1012" t="s">
        <v>12</v>
      </c>
      <c r="D1012" t="s">
        <v>5</v>
      </c>
      <c r="E1012" t="s">
        <v>19</v>
      </c>
    </row>
    <row r="1013" spans="1:5" x14ac:dyDescent="0.3">
      <c r="A1013" t="s">
        <v>4</v>
      </c>
      <c r="B1013" s="1" t="s">
        <v>13</v>
      </c>
      <c r="C1013" t="s">
        <v>10</v>
      </c>
      <c r="D1013" t="s">
        <v>6</v>
      </c>
      <c r="E1013" t="s">
        <v>19</v>
      </c>
    </row>
    <row r="1014" spans="1:5" x14ac:dyDescent="0.3">
      <c r="A1014" t="s">
        <v>4</v>
      </c>
      <c r="B1014" s="1" t="s">
        <v>13</v>
      </c>
      <c r="C1014" t="s">
        <v>12</v>
      </c>
      <c r="D1014" t="s">
        <v>7</v>
      </c>
      <c r="E1014" t="s">
        <v>19</v>
      </c>
    </row>
    <row r="1015" spans="1:5" x14ac:dyDescent="0.3">
      <c r="A1015" t="s">
        <v>4</v>
      </c>
      <c r="B1015" s="1" t="s">
        <v>13</v>
      </c>
      <c r="C1015" t="s">
        <v>10</v>
      </c>
      <c r="D1015" t="s">
        <v>8</v>
      </c>
      <c r="E1015" t="s">
        <v>19</v>
      </c>
    </row>
    <row r="1016" spans="1:5" x14ac:dyDescent="0.3">
      <c r="A1016" t="s">
        <v>4</v>
      </c>
      <c r="B1016" s="1" t="s">
        <v>13</v>
      </c>
      <c r="C1016" t="s">
        <v>11</v>
      </c>
      <c r="D1016" t="s">
        <v>9</v>
      </c>
      <c r="E1016" t="s">
        <v>19</v>
      </c>
    </row>
    <row r="1017" spans="1:5" x14ac:dyDescent="0.3">
      <c r="A1017" t="s">
        <v>4</v>
      </c>
      <c r="B1017" s="1" t="s">
        <v>13</v>
      </c>
      <c r="C1017" t="s">
        <v>12</v>
      </c>
      <c r="D1017" t="s">
        <v>5</v>
      </c>
      <c r="E1017" t="s">
        <v>19</v>
      </c>
    </row>
    <row r="1018" spans="1:5" x14ac:dyDescent="0.3">
      <c r="A1018" t="s">
        <v>4</v>
      </c>
      <c r="B1018" s="1" t="s">
        <v>13</v>
      </c>
      <c r="C1018" t="s">
        <v>10</v>
      </c>
      <c r="D1018" t="s">
        <v>6</v>
      </c>
      <c r="E1018" t="s">
        <v>19</v>
      </c>
    </row>
    <row r="1019" spans="1:5" x14ac:dyDescent="0.3">
      <c r="A1019" t="s">
        <v>4</v>
      </c>
      <c r="B1019" s="1" t="s">
        <v>13</v>
      </c>
      <c r="C1019" t="s">
        <v>11</v>
      </c>
      <c r="D1019" t="s">
        <v>7</v>
      </c>
      <c r="E1019" t="s">
        <v>19</v>
      </c>
    </row>
    <row r="1020" spans="1:5" x14ac:dyDescent="0.3">
      <c r="A1020" t="s">
        <v>4</v>
      </c>
      <c r="B1020" s="1" t="s">
        <v>13</v>
      </c>
      <c r="C1020" t="s">
        <v>12</v>
      </c>
      <c r="D1020" t="s">
        <v>8</v>
      </c>
      <c r="E1020" t="s">
        <v>19</v>
      </c>
    </row>
    <row r="1021" spans="1:5" x14ac:dyDescent="0.3">
      <c r="A1021" t="s">
        <v>4</v>
      </c>
      <c r="B1021" s="1" t="s">
        <v>13</v>
      </c>
      <c r="C1021" t="s">
        <v>12</v>
      </c>
      <c r="D1021" t="s">
        <v>9</v>
      </c>
      <c r="E1021" t="s">
        <v>19</v>
      </c>
    </row>
    <row r="1022" spans="1:5" x14ac:dyDescent="0.3">
      <c r="A1022" t="s">
        <v>4</v>
      </c>
      <c r="B1022" s="1" t="s">
        <v>13</v>
      </c>
      <c r="C1022" t="s">
        <v>12</v>
      </c>
      <c r="D1022" t="s">
        <v>5</v>
      </c>
      <c r="E1022" t="s">
        <v>19</v>
      </c>
    </row>
    <row r="1023" spans="1:5" x14ac:dyDescent="0.3">
      <c r="A1023" t="s">
        <v>4</v>
      </c>
      <c r="B1023" s="1" t="s">
        <v>13</v>
      </c>
      <c r="C1023" t="s">
        <v>10</v>
      </c>
      <c r="D1023" t="s">
        <v>6</v>
      </c>
      <c r="E1023" t="s">
        <v>19</v>
      </c>
    </row>
    <row r="1024" spans="1:5" x14ac:dyDescent="0.3">
      <c r="A1024" t="s">
        <v>4</v>
      </c>
      <c r="B1024" s="1" t="s">
        <v>13</v>
      </c>
      <c r="C1024" t="s">
        <v>12</v>
      </c>
      <c r="D1024" t="s">
        <v>7</v>
      </c>
      <c r="E1024" t="s">
        <v>19</v>
      </c>
    </row>
    <row r="1025" spans="1:5" x14ac:dyDescent="0.3">
      <c r="A1025" t="s">
        <v>4</v>
      </c>
      <c r="B1025" s="1" t="s">
        <v>13</v>
      </c>
      <c r="C1025" t="s">
        <v>12</v>
      </c>
      <c r="D1025" t="s">
        <v>8</v>
      </c>
      <c r="E1025" t="s">
        <v>19</v>
      </c>
    </row>
    <row r="1026" spans="1:5" x14ac:dyDescent="0.3">
      <c r="A1026" t="s">
        <v>4</v>
      </c>
      <c r="B1026" s="1" t="s">
        <v>13</v>
      </c>
      <c r="C1026" t="s">
        <v>11</v>
      </c>
      <c r="D1026" t="s">
        <v>9</v>
      </c>
      <c r="E1026" t="s">
        <v>19</v>
      </c>
    </row>
    <row r="1027" spans="1:5" x14ac:dyDescent="0.3">
      <c r="A1027" t="s">
        <v>4</v>
      </c>
      <c r="B1027" s="1" t="s">
        <v>13</v>
      </c>
      <c r="C1027" t="s">
        <v>12</v>
      </c>
      <c r="D1027" t="s">
        <v>5</v>
      </c>
      <c r="E1027" t="s">
        <v>19</v>
      </c>
    </row>
    <row r="1028" spans="1:5" x14ac:dyDescent="0.3">
      <c r="A1028" t="s">
        <v>4</v>
      </c>
      <c r="B1028" s="1" t="s">
        <v>13</v>
      </c>
      <c r="C1028" t="s">
        <v>10</v>
      </c>
      <c r="D1028" t="s">
        <v>6</v>
      </c>
      <c r="E1028" t="s">
        <v>19</v>
      </c>
    </row>
    <row r="1029" spans="1:5" x14ac:dyDescent="0.3">
      <c r="A1029" t="s">
        <v>4</v>
      </c>
      <c r="B1029" s="1" t="s">
        <v>13</v>
      </c>
      <c r="C1029" t="s">
        <v>12</v>
      </c>
      <c r="D1029" t="s">
        <v>7</v>
      </c>
      <c r="E1029" t="s">
        <v>19</v>
      </c>
    </row>
    <row r="1030" spans="1:5" x14ac:dyDescent="0.3">
      <c r="A1030" t="s">
        <v>4</v>
      </c>
      <c r="B1030" s="1" t="s">
        <v>13</v>
      </c>
      <c r="C1030" t="s">
        <v>11</v>
      </c>
      <c r="D1030" t="s">
        <v>8</v>
      </c>
      <c r="E1030" t="s">
        <v>19</v>
      </c>
    </row>
    <row r="1031" spans="1:5" x14ac:dyDescent="0.3">
      <c r="A1031" t="s">
        <v>4</v>
      </c>
      <c r="B1031" s="1" t="s">
        <v>13</v>
      </c>
      <c r="C1031" t="s">
        <v>11</v>
      </c>
      <c r="D1031" t="s">
        <v>9</v>
      </c>
      <c r="E1031" t="s">
        <v>19</v>
      </c>
    </row>
    <row r="1032" spans="1:5" x14ac:dyDescent="0.3">
      <c r="A1032" t="s">
        <v>4</v>
      </c>
      <c r="B1032" s="1" t="s">
        <v>13</v>
      </c>
      <c r="C1032" t="s">
        <v>12</v>
      </c>
      <c r="D1032" t="s">
        <v>5</v>
      </c>
      <c r="E1032" t="s">
        <v>19</v>
      </c>
    </row>
    <row r="1033" spans="1:5" x14ac:dyDescent="0.3">
      <c r="A1033" t="s">
        <v>4</v>
      </c>
      <c r="B1033" s="1" t="s">
        <v>13</v>
      </c>
      <c r="C1033" t="s">
        <v>10</v>
      </c>
      <c r="D1033" t="s">
        <v>6</v>
      </c>
      <c r="E1033" t="s">
        <v>19</v>
      </c>
    </row>
    <row r="1034" spans="1:5" x14ac:dyDescent="0.3">
      <c r="A1034" t="s">
        <v>4</v>
      </c>
      <c r="B1034" s="1" t="s">
        <v>13</v>
      </c>
      <c r="C1034" t="s">
        <v>12</v>
      </c>
      <c r="D1034" t="s">
        <v>7</v>
      </c>
      <c r="E1034" t="s">
        <v>19</v>
      </c>
    </row>
    <row r="1035" spans="1:5" x14ac:dyDescent="0.3">
      <c r="A1035" t="s">
        <v>4</v>
      </c>
      <c r="B1035" s="1" t="s">
        <v>13</v>
      </c>
      <c r="C1035" t="s">
        <v>12</v>
      </c>
      <c r="D1035" t="s">
        <v>8</v>
      </c>
      <c r="E1035" t="s">
        <v>19</v>
      </c>
    </row>
    <row r="1036" spans="1:5" x14ac:dyDescent="0.3">
      <c r="A1036" t="s">
        <v>4</v>
      </c>
      <c r="B1036" s="1" t="s">
        <v>13</v>
      </c>
      <c r="C1036" t="s">
        <v>11</v>
      </c>
      <c r="D1036" t="s">
        <v>9</v>
      </c>
      <c r="E1036" t="s">
        <v>19</v>
      </c>
    </row>
    <row r="1037" spans="1:5" x14ac:dyDescent="0.3">
      <c r="A1037" t="s">
        <v>4</v>
      </c>
      <c r="B1037" s="1" t="s">
        <v>13</v>
      </c>
      <c r="C1037" t="s">
        <v>12</v>
      </c>
      <c r="D1037" t="s">
        <v>5</v>
      </c>
      <c r="E1037" t="s">
        <v>19</v>
      </c>
    </row>
    <row r="1038" spans="1:5" x14ac:dyDescent="0.3">
      <c r="A1038" t="s">
        <v>4</v>
      </c>
      <c r="B1038" s="1" t="s">
        <v>13</v>
      </c>
      <c r="C1038" t="s">
        <v>10</v>
      </c>
      <c r="D1038" t="s">
        <v>6</v>
      </c>
      <c r="E1038" t="s">
        <v>19</v>
      </c>
    </row>
    <row r="1039" spans="1:5" x14ac:dyDescent="0.3">
      <c r="A1039" t="s">
        <v>4</v>
      </c>
      <c r="B1039" s="1" t="s">
        <v>13</v>
      </c>
      <c r="C1039" t="s">
        <v>12</v>
      </c>
      <c r="D1039" t="s">
        <v>7</v>
      </c>
      <c r="E1039" t="s">
        <v>19</v>
      </c>
    </row>
    <row r="1040" spans="1:5" x14ac:dyDescent="0.3">
      <c r="A1040" t="s">
        <v>4</v>
      </c>
      <c r="B1040" s="1" t="s">
        <v>13</v>
      </c>
      <c r="C1040" t="s">
        <v>12</v>
      </c>
      <c r="D1040" t="s">
        <v>8</v>
      </c>
      <c r="E1040" t="s">
        <v>19</v>
      </c>
    </row>
    <row r="1041" spans="1:5" x14ac:dyDescent="0.3">
      <c r="A1041" t="s">
        <v>4</v>
      </c>
      <c r="B1041" s="1" t="s">
        <v>13</v>
      </c>
      <c r="C1041" t="s">
        <v>12</v>
      </c>
      <c r="D1041" t="s">
        <v>9</v>
      </c>
      <c r="E1041" t="s">
        <v>19</v>
      </c>
    </row>
    <row r="1042" spans="1:5" x14ac:dyDescent="0.3">
      <c r="A1042" t="s">
        <v>4</v>
      </c>
      <c r="B1042" s="1" t="s">
        <v>13</v>
      </c>
      <c r="C1042" t="s">
        <v>12</v>
      </c>
      <c r="D1042" t="s">
        <v>5</v>
      </c>
      <c r="E1042" t="s">
        <v>19</v>
      </c>
    </row>
    <row r="1043" spans="1:5" x14ac:dyDescent="0.3">
      <c r="A1043" t="s">
        <v>4</v>
      </c>
      <c r="B1043" s="1" t="s">
        <v>13</v>
      </c>
      <c r="C1043" t="s">
        <v>10</v>
      </c>
      <c r="D1043" t="s">
        <v>6</v>
      </c>
      <c r="E1043" t="s">
        <v>19</v>
      </c>
    </row>
    <row r="1044" spans="1:5" x14ac:dyDescent="0.3">
      <c r="A1044" t="s">
        <v>4</v>
      </c>
      <c r="B1044" s="1" t="s">
        <v>13</v>
      </c>
      <c r="C1044" t="s">
        <v>11</v>
      </c>
      <c r="D1044" t="s">
        <v>7</v>
      </c>
      <c r="E1044" t="s">
        <v>19</v>
      </c>
    </row>
    <row r="1045" spans="1:5" x14ac:dyDescent="0.3">
      <c r="A1045" t="s">
        <v>4</v>
      </c>
      <c r="B1045" s="1" t="s">
        <v>13</v>
      </c>
      <c r="C1045" t="s">
        <v>12</v>
      </c>
      <c r="D1045" t="s">
        <v>8</v>
      </c>
      <c r="E1045" t="s">
        <v>19</v>
      </c>
    </row>
    <row r="1046" spans="1:5" x14ac:dyDescent="0.3">
      <c r="A1046" t="s">
        <v>4</v>
      </c>
      <c r="B1046" s="1" t="s">
        <v>13</v>
      </c>
      <c r="C1046" t="s">
        <v>11</v>
      </c>
      <c r="D1046" t="s">
        <v>9</v>
      </c>
      <c r="E1046" t="s">
        <v>19</v>
      </c>
    </row>
    <row r="1047" spans="1:5" x14ac:dyDescent="0.3">
      <c r="A1047" t="s">
        <v>4</v>
      </c>
      <c r="B1047" s="1" t="s">
        <v>13</v>
      </c>
      <c r="C1047" t="s">
        <v>12</v>
      </c>
      <c r="D1047" t="s">
        <v>5</v>
      </c>
      <c r="E1047" t="s">
        <v>19</v>
      </c>
    </row>
    <row r="1048" spans="1:5" x14ac:dyDescent="0.3">
      <c r="A1048" t="s">
        <v>4</v>
      </c>
      <c r="B1048" s="1" t="s">
        <v>13</v>
      </c>
      <c r="C1048" t="s">
        <v>10</v>
      </c>
      <c r="D1048" t="s">
        <v>6</v>
      </c>
      <c r="E1048" t="s">
        <v>19</v>
      </c>
    </row>
    <row r="1049" spans="1:5" x14ac:dyDescent="0.3">
      <c r="A1049" t="s">
        <v>4</v>
      </c>
      <c r="B1049" s="1" t="s">
        <v>13</v>
      </c>
      <c r="C1049" t="s">
        <v>11</v>
      </c>
      <c r="D1049" t="s">
        <v>7</v>
      </c>
      <c r="E1049" t="s">
        <v>19</v>
      </c>
    </row>
    <row r="1050" spans="1:5" x14ac:dyDescent="0.3">
      <c r="A1050" t="s">
        <v>4</v>
      </c>
      <c r="B1050" s="1" t="s">
        <v>13</v>
      </c>
      <c r="C1050" t="s">
        <v>12</v>
      </c>
      <c r="D1050" t="s">
        <v>8</v>
      </c>
      <c r="E1050" t="s">
        <v>19</v>
      </c>
    </row>
    <row r="1051" spans="1:5" x14ac:dyDescent="0.3">
      <c r="A1051" t="s">
        <v>4</v>
      </c>
      <c r="B1051" s="1" t="s">
        <v>13</v>
      </c>
      <c r="C1051" t="s">
        <v>12</v>
      </c>
      <c r="D1051" t="s">
        <v>9</v>
      </c>
      <c r="E1051" t="s">
        <v>19</v>
      </c>
    </row>
    <row r="1052" spans="1:5" x14ac:dyDescent="0.3">
      <c r="A1052" t="s">
        <v>4</v>
      </c>
      <c r="B1052" s="1" t="s">
        <v>13</v>
      </c>
      <c r="C1052" t="s">
        <v>12</v>
      </c>
      <c r="D1052" t="s">
        <v>5</v>
      </c>
      <c r="E1052" t="s">
        <v>19</v>
      </c>
    </row>
    <row r="1053" spans="1:5" x14ac:dyDescent="0.3">
      <c r="A1053" t="s">
        <v>4</v>
      </c>
      <c r="B1053" s="1" t="s">
        <v>13</v>
      </c>
      <c r="C1053" t="s">
        <v>10</v>
      </c>
      <c r="D1053" t="s">
        <v>6</v>
      </c>
      <c r="E1053" t="s">
        <v>19</v>
      </c>
    </row>
    <row r="1054" spans="1:5" x14ac:dyDescent="0.3">
      <c r="A1054" t="s">
        <v>4</v>
      </c>
      <c r="B1054" s="1" t="s">
        <v>13</v>
      </c>
      <c r="C1054" t="s">
        <v>12</v>
      </c>
      <c r="D1054" t="s">
        <v>7</v>
      </c>
      <c r="E1054" t="s">
        <v>19</v>
      </c>
    </row>
    <row r="1055" spans="1:5" x14ac:dyDescent="0.3">
      <c r="A1055" t="s">
        <v>4</v>
      </c>
      <c r="B1055" s="1" t="s">
        <v>13</v>
      </c>
      <c r="C1055" t="s">
        <v>12</v>
      </c>
      <c r="D1055" t="s">
        <v>8</v>
      </c>
      <c r="E1055" t="s">
        <v>19</v>
      </c>
    </row>
    <row r="1056" spans="1:5" x14ac:dyDescent="0.3">
      <c r="A1056" t="s">
        <v>4</v>
      </c>
      <c r="B1056" s="1" t="s">
        <v>13</v>
      </c>
      <c r="C1056" t="s">
        <v>12</v>
      </c>
      <c r="D1056" t="s">
        <v>9</v>
      </c>
      <c r="E1056" t="s">
        <v>19</v>
      </c>
    </row>
    <row r="1057" spans="1:5" x14ac:dyDescent="0.3">
      <c r="A1057" t="s">
        <v>4</v>
      </c>
      <c r="B1057" s="1" t="s">
        <v>13</v>
      </c>
      <c r="C1057" t="s">
        <v>12</v>
      </c>
      <c r="D1057" t="s">
        <v>5</v>
      </c>
      <c r="E1057" t="s">
        <v>19</v>
      </c>
    </row>
    <row r="1058" spans="1:5" x14ac:dyDescent="0.3">
      <c r="A1058" t="s">
        <v>4</v>
      </c>
      <c r="B1058" s="1" t="s">
        <v>13</v>
      </c>
      <c r="C1058" t="s">
        <v>10</v>
      </c>
      <c r="D1058" t="s">
        <v>6</v>
      </c>
      <c r="E1058" t="s">
        <v>19</v>
      </c>
    </row>
    <row r="1059" spans="1:5" x14ac:dyDescent="0.3">
      <c r="A1059" t="s">
        <v>4</v>
      </c>
      <c r="B1059" s="1" t="s">
        <v>13</v>
      </c>
      <c r="C1059" t="s">
        <v>12</v>
      </c>
      <c r="D1059" t="s">
        <v>7</v>
      </c>
      <c r="E1059" t="s">
        <v>19</v>
      </c>
    </row>
    <row r="1060" spans="1:5" x14ac:dyDescent="0.3">
      <c r="A1060" t="s">
        <v>4</v>
      </c>
      <c r="B1060" s="1" t="s">
        <v>13</v>
      </c>
      <c r="C1060" t="s">
        <v>12</v>
      </c>
      <c r="D1060" t="s">
        <v>8</v>
      </c>
      <c r="E1060" t="s">
        <v>19</v>
      </c>
    </row>
    <row r="1061" spans="1:5" x14ac:dyDescent="0.3">
      <c r="A1061" t="s">
        <v>4</v>
      </c>
      <c r="B1061" s="1" t="s">
        <v>13</v>
      </c>
      <c r="C1061" t="s">
        <v>12</v>
      </c>
      <c r="D1061" t="s">
        <v>9</v>
      </c>
      <c r="E1061" t="s">
        <v>19</v>
      </c>
    </row>
    <row r="1062" spans="1:5" x14ac:dyDescent="0.3">
      <c r="A1062" t="s">
        <v>4</v>
      </c>
      <c r="B1062" s="1" t="s">
        <v>13</v>
      </c>
      <c r="C1062" t="s">
        <v>12</v>
      </c>
      <c r="D1062" t="s">
        <v>5</v>
      </c>
      <c r="E1062" t="s">
        <v>19</v>
      </c>
    </row>
    <row r="1063" spans="1:5" x14ac:dyDescent="0.3">
      <c r="A1063" t="s">
        <v>4</v>
      </c>
      <c r="B1063" s="1" t="s">
        <v>13</v>
      </c>
      <c r="C1063" t="s">
        <v>10</v>
      </c>
      <c r="D1063" t="s">
        <v>6</v>
      </c>
      <c r="E1063" t="s">
        <v>19</v>
      </c>
    </row>
    <row r="1064" spans="1:5" x14ac:dyDescent="0.3">
      <c r="A1064" t="s">
        <v>4</v>
      </c>
      <c r="B1064" s="1" t="s">
        <v>13</v>
      </c>
      <c r="C1064" t="s">
        <v>11</v>
      </c>
      <c r="D1064" t="s">
        <v>7</v>
      </c>
      <c r="E1064" t="s">
        <v>19</v>
      </c>
    </row>
    <row r="1065" spans="1:5" x14ac:dyDescent="0.3">
      <c r="A1065" t="s">
        <v>4</v>
      </c>
      <c r="B1065" s="1" t="s">
        <v>13</v>
      </c>
      <c r="C1065" t="s">
        <v>12</v>
      </c>
      <c r="D1065" t="s">
        <v>8</v>
      </c>
      <c r="E1065" t="s">
        <v>19</v>
      </c>
    </row>
    <row r="1066" spans="1:5" x14ac:dyDescent="0.3">
      <c r="A1066" t="s">
        <v>4</v>
      </c>
      <c r="B1066" s="1" t="s">
        <v>13</v>
      </c>
      <c r="C1066" t="s">
        <v>11</v>
      </c>
      <c r="D1066" t="s">
        <v>9</v>
      </c>
      <c r="E1066" t="s">
        <v>19</v>
      </c>
    </row>
    <row r="1067" spans="1:5" x14ac:dyDescent="0.3">
      <c r="A1067" t="s">
        <v>4</v>
      </c>
      <c r="B1067" s="1" t="s">
        <v>13</v>
      </c>
      <c r="C1067" t="s">
        <v>12</v>
      </c>
      <c r="D1067" t="s">
        <v>5</v>
      </c>
      <c r="E1067" t="s">
        <v>19</v>
      </c>
    </row>
    <row r="1068" spans="1:5" x14ac:dyDescent="0.3">
      <c r="A1068" t="s">
        <v>4</v>
      </c>
      <c r="B1068" s="1" t="s">
        <v>13</v>
      </c>
      <c r="C1068" t="s">
        <v>11</v>
      </c>
      <c r="D1068" t="s">
        <v>6</v>
      </c>
      <c r="E1068" t="s">
        <v>19</v>
      </c>
    </row>
    <row r="1069" spans="1:5" x14ac:dyDescent="0.3">
      <c r="A1069" t="s">
        <v>4</v>
      </c>
      <c r="B1069" s="1" t="s">
        <v>13</v>
      </c>
      <c r="C1069" t="s">
        <v>11</v>
      </c>
      <c r="D1069" t="s">
        <v>7</v>
      </c>
      <c r="E1069" t="s">
        <v>19</v>
      </c>
    </row>
    <row r="1070" spans="1:5" x14ac:dyDescent="0.3">
      <c r="A1070" t="s">
        <v>4</v>
      </c>
      <c r="B1070" s="1" t="s">
        <v>13</v>
      </c>
      <c r="C1070" t="s">
        <v>12</v>
      </c>
      <c r="D1070" t="s">
        <v>8</v>
      </c>
      <c r="E1070" t="s">
        <v>19</v>
      </c>
    </row>
    <row r="1071" spans="1:5" x14ac:dyDescent="0.3">
      <c r="A1071" t="s">
        <v>4</v>
      </c>
      <c r="B1071" s="1" t="s">
        <v>13</v>
      </c>
      <c r="C1071" t="s">
        <v>12</v>
      </c>
      <c r="D1071" t="s">
        <v>9</v>
      </c>
      <c r="E1071" t="s">
        <v>19</v>
      </c>
    </row>
    <row r="1072" spans="1:5" x14ac:dyDescent="0.3">
      <c r="A1072" t="s">
        <v>4</v>
      </c>
      <c r="B1072" s="1" t="s">
        <v>13</v>
      </c>
      <c r="C1072" t="s">
        <v>12</v>
      </c>
      <c r="D1072" t="s">
        <v>5</v>
      </c>
      <c r="E1072" t="s">
        <v>20</v>
      </c>
    </row>
    <row r="1073" spans="1:5" x14ac:dyDescent="0.3">
      <c r="A1073" t="s">
        <v>4</v>
      </c>
      <c r="B1073" s="1" t="s">
        <v>13</v>
      </c>
      <c r="C1073" t="s">
        <v>12</v>
      </c>
      <c r="D1073" t="s">
        <v>6</v>
      </c>
      <c r="E1073" t="s">
        <v>20</v>
      </c>
    </row>
    <row r="1074" spans="1:5" x14ac:dyDescent="0.3">
      <c r="A1074" t="s">
        <v>4</v>
      </c>
      <c r="B1074" s="1" t="s">
        <v>13</v>
      </c>
      <c r="C1074" t="s">
        <v>11</v>
      </c>
      <c r="D1074" t="s">
        <v>7</v>
      </c>
      <c r="E1074" t="s">
        <v>20</v>
      </c>
    </row>
    <row r="1075" spans="1:5" x14ac:dyDescent="0.3">
      <c r="A1075" t="s">
        <v>4</v>
      </c>
      <c r="B1075" s="1" t="s">
        <v>13</v>
      </c>
      <c r="C1075" t="s">
        <v>12</v>
      </c>
      <c r="D1075" t="s">
        <v>8</v>
      </c>
      <c r="E1075" t="s">
        <v>20</v>
      </c>
    </row>
    <row r="1076" spans="1:5" x14ac:dyDescent="0.3">
      <c r="A1076" t="s">
        <v>4</v>
      </c>
      <c r="B1076" s="1" t="s">
        <v>13</v>
      </c>
      <c r="C1076" t="s">
        <v>12</v>
      </c>
      <c r="D1076" t="s">
        <v>9</v>
      </c>
      <c r="E1076" t="s">
        <v>20</v>
      </c>
    </row>
    <row r="1077" spans="1:5" x14ac:dyDescent="0.3">
      <c r="A1077" t="s">
        <v>4</v>
      </c>
      <c r="B1077" s="1" t="s">
        <v>13</v>
      </c>
      <c r="C1077" t="s">
        <v>12</v>
      </c>
      <c r="D1077" t="s">
        <v>5</v>
      </c>
      <c r="E1077" t="s">
        <v>20</v>
      </c>
    </row>
    <row r="1078" spans="1:5" x14ac:dyDescent="0.3">
      <c r="A1078" t="s">
        <v>4</v>
      </c>
      <c r="B1078" s="1" t="s">
        <v>13</v>
      </c>
      <c r="C1078" t="s">
        <v>12</v>
      </c>
      <c r="D1078" t="s">
        <v>6</v>
      </c>
      <c r="E1078" t="s">
        <v>20</v>
      </c>
    </row>
    <row r="1079" spans="1:5" x14ac:dyDescent="0.3">
      <c r="A1079" t="s">
        <v>4</v>
      </c>
      <c r="B1079" s="1" t="s">
        <v>13</v>
      </c>
      <c r="C1079" t="s">
        <v>11</v>
      </c>
      <c r="D1079" t="s">
        <v>7</v>
      </c>
      <c r="E1079" t="s">
        <v>20</v>
      </c>
    </row>
    <row r="1080" spans="1:5" x14ac:dyDescent="0.3">
      <c r="A1080" t="s">
        <v>4</v>
      </c>
      <c r="B1080" s="1" t="s">
        <v>13</v>
      </c>
      <c r="C1080" t="s">
        <v>11</v>
      </c>
      <c r="D1080" t="s">
        <v>8</v>
      </c>
      <c r="E1080" t="s">
        <v>20</v>
      </c>
    </row>
    <row r="1081" spans="1:5" x14ac:dyDescent="0.3">
      <c r="A1081" t="s">
        <v>4</v>
      </c>
      <c r="B1081" s="1" t="s">
        <v>13</v>
      </c>
      <c r="C1081" t="s">
        <v>11</v>
      </c>
      <c r="D1081" t="s">
        <v>9</v>
      </c>
      <c r="E1081" t="s">
        <v>20</v>
      </c>
    </row>
    <row r="1082" spans="1:5" x14ac:dyDescent="0.3">
      <c r="A1082" t="s">
        <v>4</v>
      </c>
      <c r="B1082" s="1" t="s">
        <v>13</v>
      </c>
      <c r="C1082" t="s">
        <v>12</v>
      </c>
      <c r="D1082" t="s">
        <v>5</v>
      </c>
      <c r="E1082" t="s">
        <v>20</v>
      </c>
    </row>
    <row r="1083" spans="1:5" x14ac:dyDescent="0.3">
      <c r="A1083" t="s">
        <v>4</v>
      </c>
      <c r="B1083" s="1" t="s">
        <v>13</v>
      </c>
      <c r="C1083" t="s">
        <v>12</v>
      </c>
      <c r="D1083" t="s">
        <v>6</v>
      </c>
      <c r="E1083" t="s">
        <v>20</v>
      </c>
    </row>
    <row r="1084" spans="1:5" x14ac:dyDescent="0.3">
      <c r="A1084" t="s">
        <v>4</v>
      </c>
      <c r="B1084" s="1" t="s">
        <v>13</v>
      </c>
      <c r="C1084" t="s">
        <v>11</v>
      </c>
      <c r="D1084" t="s">
        <v>7</v>
      </c>
      <c r="E1084" t="s">
        <v>20</v>
      </c>
    </row>
    <row r="1085" spans="1:5" x14ac:dyDescent="0.3">
      <c r="A1085" t="s">
        <v>4</v>
      </c>
      <c r="B1085" s="1" t="s">
        <v>13</v>
      </c>
      <c r="C1085" t="s">
        <v>11</v>
      </c>
      <c r="D1085" t="s">
        <v>8</v>
      </c>
      <c r="E1085" t="s">
        <v>20</v>
      </c>
    </row>
    <row r="1086" spans="1:5" x14ac:dyDescent="0.3">
      <c r="A1086" t="s">
        <v>4</v>
      </c>
      <c r="B1086" s="1" t="s">
        <v>13</v>
      </c>
      <c r="C1086" t="s">
        <v>11</v>
      </c>
      <c r="D1086" t="s">
        <v>9</v>
      </c>
      <c r="E1086" t="s">
        <v>20</v>
      </c>
    </row>
    <row r="1087" spans="1:5" x14ac:dyDescent="0.3">
      <c r="A1087" t="s">
        <v>4</v>
      </c>
      <c r="B1087" s="1" t="s">
        <v>13</v>
      </c>
      <c r="C1087" t="s">
        <v>12</v>
      </c>
      <c r="D1087" t="s">
        <v>5</v>
      </c>
      <c r="E1087" t="s">
        <v>20</v>
      </c>
    </row>
    <row r="1088" spans="1:5" x14ac:dyDescent="0.3">
      <c r="A1088" t="s">
        <v>4</v>
      </c>
      <c r="B1088" s="1" t="s">
        <v>13</v>
      </c>
      <c r="C1088" t="s">
        <v>12</v>
      </c>
      <c r="D1088" t="s">
        <v>6</v>
      </c>
      <c r="E1088" t="s">
        <v>20</v>
      </c>
    </row>
    <row r="1089" spans="1:5" x14ac:dyDescent="0.3">
      <c r="A1089" t="s">
        <v>4</v>
      </c>
      <c r="B1089" s="1" t="s">
        <v>13</v>
      </c>
      <c r="C1089" t="s">
        <v>11</v>
      </c>
      <c r="D1089" t="s">
        <v>7</v>
      </c>
      <c r="E1089" t="s">
        <v>20</v>
      </c>
    </row>
    <row r="1090" spans="1:5" x14ac:dyDescent="0.3">
      <c r="A1090" t="s">
        <v>4</v>
      </c>
      <c r="B1090" s="1" t="s">
        <v>13</v>
      </c>
      <c r="C1090" t="s">
        <v>11</v>
      </c>
      <c r="D1090" t="s">
        <v>8</v>
      </c>
      <c r="E1090" t="s">
        <v>20</v>
      </c>
    </row>
    <row r="1091" spans="1:5" x14ac:dyDescent="0.3">
      <c r="A1091" t="s">
        <v>4</v>
      </c>
      <c r="B1091" s="1" t="s">
        <v>13</v>
      </c>
      <c r="C1091" t="s">
        <v>11</v>
      </c>
      <c r="D1091" t="s">
        <v>9</v>
      </c>
      <c r="E1091" t="s">
        <v>20</v>
      </c>
    </row>
    <row r="1092" spans="1:5" x14ac:dyDescent="0.3">
      <c r="A1092" t="s">
        <v>4</v>
      </c>
      <c r="B1092" s="1" t="s">
        <v>13</v>
      </c>
      <c r="C1092" t="s">
        <v>12</v>
      </c>
      <c r="D1092" t="s">
        <v>5</v>
      </c>
      <c r="E1092" t="s">
        <v>20</v>
      </c>
    </row>
    <row r="1093" spans="1:5" x14ac:dyDescent="0.3">
      <c r="A1093" t="s">
        <v>4</v>
      </c>
      <c r="B1093" s="1" t="s">
        <v>13</v>
      </c>
      <c r="C1093" t="s">
        <v>12</v>
      </c>
      <c r="D1093" t="s">
        <v>6</v>
      </c>
      <c r="E1093" t="s">
        <v>20</v>
      </c>
    </row>
    <row r="1094" spans="1:5" x14ac:dyDescent="0.3">
      <c r="A1094" t="s">
        <v>4</v>
      </c>
      <c r="B1094" s="1" t="s">
        <v>13</v>
      </c>
      <c r="C1094" t="s">
        <v>11</v>
      </c>
      <c r="D1094" t="s">
        <v>7</v>
      </c>
      <c r="E1094" t="s">
        <v>20</v>
      </c>
    </row>
    <row r="1095" spans="1:5" x14ac:dyDescent="0.3">
      <c r="A1095" t="s">
        <v>4</v>
      </c>
      <c r="B1095" s="1" t="s">
        <v>13</v>
      </c>
      <c r="C1095" t="s">
        <v>10</v>
      </c>
      <c r="D1095" t="s">
        <v>8</v>
      </c>
      <c r="E1095" t="s">
        <v>20</v>
      </c>
    </row>
    <row r="1096" spans="1:5" x14ac:dyDescent="0.3">
      <c r="A1096" t="s">
        <v>4</v>
      </c>
      <c r="B1096" s="1" t="s">
        <v>13</v>
      </c>
      <c r="C1096" t="s">
        <v>11</v>
      </c>
      <c r="D1096" t="s">
        <v>9</v>
      </c>
      <c r="E1096" t="s">
        <v>20</v>
      </c>
    </row>
    <row r="1097" spans="1:5" x14ac:dyDescent="0.3">
      <c r="A1097" t="s">
        <v>4</v>
      </c>
      <c r="B1097" s="1" t="s">
        <v>13</v>
      </c>
      <c r="C1097" t="s">
        <v>12</v>
      </c>
      <c r="D1097" t="s">
        <v>5</v>
      </c>
      <c r="E1097" t="s">
        <v>20</v>
      </c>
    </row>
    <row r="1098" spans="1:5" x14ac:dyDescent="0.3">
      <c r="A1098" t="s">
        <v>4</v>
      </c>
      <c r="B1098" s="1" t="s">
        <v>13</v>
      </c>
      <c r="C1098" t="s">
        <v>12</v>
      </c>
      <c r="D1098" t="s">
        <v>6</v>
      </c>
      <c r="E1098" t="s">
        <v>20</v>
      </c>
    </row>
    <row r="1099" spans="1:5" x14ac:dyDescent="0.3">
      <c r="A1099" t="s">
        <v>4</v>
      </c>
      <c r="B1099" s="1" t="s">
        <v>13</v>
      </c>
      <c r="C1099" t="s">
        <v>11</v>
      </c>
      <c r="D1099" t="s">
        <v>7</v>
      </c>
      <c r="E1099" t="s">
        <v>20</v>
      </c>
    </row>
    <row r="1100" spans="1:5" x14ac:dyDescent="0.3">
      <c r="A1100" t="s">
        <v>4</v>
      </c>
      <c r="B1100" s="1" t="s">
        <v>13</v>
      </c>
      <c r="C1100" t="s">
        <v>22</v>
      </c>
      <c r="D1100" t="s">
        <v>8</v>
      </c>
      <c r="E1100" t="s">
        <v>20</v>
      </c>
    </row>
    <row r="1101" spans="1:5" x14ac:dyDescent="0.3">
      <c r="A1101" t="s">
        <v>4</v>
      </c>
      <c r="B1101" s="1" t="s">
        <v>13</v>
      </c>
      <c r="C1101" t="s">
        <v>11</v>
      </c>
      <c r="D1101" t="s">
        <v>9</v>
      </c>
      <c r="E1101" t="s">
        <v>20</v>
      </c>
    </row>
    <row r="1102" spans="1:5" x14ac:dyDescent="0.3">
      <c r="A1102" t="s">
        <v>4</v>
      </c>
      <c r="B1102" s="1" t="s">
        <v>13</v>
      </c>
      <c r="C1102" t="s">
        <v>12</v>
      </c>
      <c r="D1102" t="s">
        <v>5</v>
      </c>
      <c r="E1102" t="s">
        <v>20</v>
      </c>
    </row>
    <row r="1103" spans="1:5" x14ac:dyDescent="0.3">
      <c r="A1103" t="s">
        <v>4</v>
      </c>
      <c r="B1103" s="1" t="s">
        <v>13</v>
      </c>
      <c r="C1103" t="s">
        <v>12</v>
      </c>
      <c r="D1103" t="s">
        <v>6</v>
      </c>
      <c r="E1103" t="s">
        <v>20</v>
      </c>
    </row>
    <row r="1104" spans="1:5" x14ac:dyDescent="0.3">
      <c r="A1104" t="s">
        <v>4</v>
      </c>
      <c r="B1104" s="1" t="s">
        <v>13</v>
      </c>
      <c r="C1104" t="s">
        <v>11</v>
      </c>
      <c r="D1104" t="s">
        <v>7</v>
      </c>
      <c r="E1104" t="s">
        <v>20</v>
      </c>
    </row>
    <row r="1105" spans="1:5" x14ac:dyDescent="0.3">
      <c r="A1105" t="s">
        <v>4</v>
      </c>
      <c r="B1105" s="1" t="s">
        <v>13</v>
      </c>
      <c r="C1105" t="s">
        <v>11</v>
      </c>
      <c r="D1105" t="s">
        <v>8</v>
      </c>
      <c r="E1105" t="s">
        <v>20</v>
      </c>
    </row>
    <row r="1106" spans="1:5" x14ac:dyDescent="0.3">
      <c r="A1106" t="s">
        <v>4</v>
      </c>
      <c r="B1106" s="1" t="s">
        <v>13</v>
      </c>
      <c r="C1106" t="s">
        <v>11</v>
      </c>
      <c r="D1106" t="s">
        <v>9</v>
      </c>
      <c r="E1106" t="s">
        <v>20</v>
      </c>
    </row>
    <row r="1107" spans="1:5" x14ac:dyDescent="0.3">
      <c r="A1107" t="s">
        <v>4</v>
      </c>
      <c r="B1107" s="1" t="s">
        <v>13</v>
      </c>
      <c r="C1107" t="s">
        <v>12</v>
      </c>
      <c r="D1107" t="s">
        <v>5</v>
      </c>
      <c r="E1107" t="s">
        <v>20</v>
      </c>
    </row>
    <row r="1108" spans="1:5" x14ac:dyDescent="0.3">
      <c r="A1108" t="s">
        <v>4</v>
      </c>
      <c r="B1108" s="1" t="s">
        <v>13</v>
      </c>
      <c r="C1108" t="s">
        <v>12</v>
      </c>
      <c r="D1108" t="s">
        <v>6</v>
      </c>
      <c r="E1108" t="s">
        <v>20</v>
      </c>
    </row>
    <row r="1109" spans="1:5" x14ac:dyDescent="0.3">
      <c r="A1109" t="s">
        <v>4</v>
      </c>
      <c r="B1109" s="1" t="s">
        <v>13</v>
      </c>
      <c r="C1109" t="s">
        <v>11</v>
      </c>
      <c r="D1109" t="s">
        <v>7</v>
      </c>
      <c r="E1109" t="s">
        <v>20</v>
      </c>
    </row>
    <row r="1110" spans="1:5" x14ac:dyDescent="0.3">
      <c r="A1110" t="s">
        <v>4</v>
      </c>
      <c r="B1110" s="1" t="s">
        <v>13</v>
      </c>
      <c r="C1110" t="s">
        <v>11</v>
      </c>
      <c r="D1110" t="s">
        <v>8</v>
      </c>
      <c r="E1110" t="s">
        <v>20</v>
      </c>
    </row>
    <row r="1111" spans="1:5" x14ac:dyDescent="0.3">
      <c r="A1111" t="s">
        <v>4</v>
      </c>
      <c r="B1111" s="1" t="s">
        <v>13</v>
      </c>
      <c r="C1111" t="s">
        <v>11</v>
      </c>
      <c r="D1111" t="s">
        <v>9</v>
      </c>
      <c r="E1111" t="s">
        <v>20</v>
      </c>
    </row>
    <row r="1112" spans="1:5" x14ac:dyDescent="0.3">
      <c r="A1112" t="s">
        <v>4</v>
      </c>
      <c r="B1112" s="1" t="s">
        <v>13</v>
      </c>
      <c r="C1112" t="s">
        <v>12</v>
      </c>
      <c r="D1112" t="s">
        <v>5</v>
      </c>
      <c r="E1112" t="s">
        <v>20</v>
      </c>
    </row>
    <row r="1113" spans="1:5" x14ac:dyDescent="0.3">
      <c r="A1113" t="s">
        <v>4</v>
      </c>
      <c r="B1113" s="1" t="s">
        <v>13</v>
      </c>
      <c r="C1113" t="s">
        <v>12</v>
      </c>
      <c r="D1113" t="s">
        <v>6</v>
      </c>
      <c r="E1113" t="s">
        <v>20</v>
      </c>
    </row>
    <row r="1114" spans="1:5" x14ac:dyDescent="0.3">
      <c r="A1114" t="s">
        <v>4</v>
      </c>
      <c r="B1114" s="1" t="s">
        <v>13</v>
      </c>
      <c r="C1114" t="s">
        <v>11</v>
      </c>
      <c r="D1114" t="s">
        <v>7</v>
      </c>
      <c r="E1114" t="s">
        <v>20</v>
      </c>
    </row>
    <row r="1115" spans="1:5" x14ac:dyDescent="0.3">
      <c r="A1115" t="s">
        <v>4</v>
      </c>
      <c r="B1115" s="1" t="s">
        <v>13</v>
      </c>
      <c r="C1115" t="s">
        <v>11</v>
      </c>
      <c r="D1115" t="s">
        <v>8</v>
      </c>
      <c r="E1115" t="s">
        <v>20</v>
      </c>
    </row>
    <row r="1116" spans="1:5" x14ac:dyDescent="0.3">
      <c r="A1116" t="s">
        <v>4</v>
      </c>
      <c r="B1116" s="1" t="s">
        <v>13</v>
      </c>
      <c r="C1116" t="s">
        <v>11</v>
      </c>
      <c r="D1116" t="s">
        <v>9</v>
      </c>
      <c r="E1116" t="s">
        <v>20</v>
      </c>
    </row>
    <row r="1117" spans="1:5" x14ac:dyDescent="0.3">
      <c r="A1117" t="s">
        <v>4</v>
      </c>
      <c r="B1117" s="1" t="s">
        <v>13</v>
      </c>
      <c r="C1117" t="s">
        <v>12</v>
      </c>
      <c r="D1117" t="s">
        <v>5</v>
      </c>
      <c r="E1117" t="s">
        <v>20</v>
      </c>
    </row>
    <row r="1118" spans="1:5" x14ac:dyDescent="0.3">
      <c r="A1118" t="s">
        <v>4</v>
      </c>
      <c r="B1118" s="1" t="s">
        <v>13</v>
      </c>
      <c r="C1118" t="s">
        <v>12</v>
      </c>
      <c r="D1118" t="s">
        <v>6</v>
      </c>
      <c r="E1118" t="s">
        <v>20</v>
      </c>
    </row>
    <row r="1119" spans="1:5" x14ac:dyDescent="0.3">
      <c r="A1119" t="s">
        <v>4</v>
      </c>
      <c r="B1119" s="1" t="s">
        <v>13</v>
      </c>
      <c r="C1119" t="s">
        <v>11</v>
      </c>
      <c r="D1119" t="s">
        <v>7</v>
      </c>
      <c r="E1119" t="s">
        <v>20</v>
      </c>
    </row>
    <row r="1120" spans="1:5" x14ac:dyDescent="0.3">
      <c r="A1120" t="s">
        <v>4</v>
      </c>
      <c r="B1120" s="1" t="s">
        <v>13</v>
      </c>
      <c r="C1120" t="s">
        <v>11</v>
      </c>
      <c r="D1120" t="s">
        <v>8</v>
      </c>
      <c r="E1120" t="s">
        <v>20</v>
      </c>
    </row>
    <row r="1121" spans="1:5" x14ac:dyDescent="0.3">
      <c r="A1121" t="s">
        <v>4</v>
      </c>
      <c r="B1121" s="1" t="s">
        <v>13</v>
      </c>
      <c r="C1121" t="s">
        <v>11</v>
      </c>
      <c r="D1121" t="s">
        <v>9</v>
      </c>
      <c r="E1121" t="s">
        <v>20</v>
      </c>
    </row>
    <row r="1122" spans="1:5" x14ac:dyDescent="0.3">
      <c r="A1122" t="s">
        <v>4</v>
      </c>
      <c r="B1122" s="1" t="s">
        <v>13</v>
      </c>
      <c r="C1122" t="s">
        <v>12</v>
      </c>
      <c r="D1122" t="s">
        <v>5</v>
      </c>
      <c r="E1122" t="s">
        <v>20</v>
      </c>
    </row>
    <row r="1123" spans="1:5" x14ac:dyDescent="0.3">
      <c r="A1123" t="s">
        <v>4</v>
      </c>
      <c r="B1123" s="1" t="s">
        <v>13</v>
      </c>
      <c r="C1123" t="s">
        <v>12</v>
      </c>
      <c r="D1123" t="s">
        <v>6</v>
      </c>
      <c r="E1123" t="s">
        <v>20</v>
      </c>
    </row>
    <row r="1124" spans="1:5" x14ac:dyDescent="0.3">
      <c r="A1124" t="s">
        <v>4</v>
      </c>
      <c r="B1124" s="1" t="s">
        <v>13</v>
      </c>
      <c r="C1124" t="s">
        <v>11</v>
      </c>
      <c r="D1124" t="s">
        <v>7</v>
      </c>
      <c r="E1124" t="s">
        <v>20</v>
      </c>
    </row>
    <row r="1125" spans="1:5" x14ac:dyDescent="0.3">
      <c r="A1125" t="s">
        <v>4</v>
      </c>
      <c r="B1125" s="1" t="s">
        <v>13</v>
      </c>
      <c r="C1125" t="s">
        <v>12</v>
      </c>
      <c r="D1125" t="s">
        <v>8</v>
      </c>
      <c r="E1125" t="s">
        <v>20</v>
      </c>
    </row>
    <row r="1126" spans="1:5" x14ac:dyDescent="0.3">
      <c r="A1126" t="s">
        <v>4</v>
      </c>
      <c r="B1126" s="1" t="s">
        <v>13</v>
      </c>
      <c r="C1126" t="s">
        <v>12</v>
      </c>
      <c r="D1126" t="s">
        <v>9</v>
      </c>
      <c r="E1126" t="s">
        <v>20</v>
      </c>
    </row>
    <row r="1127" spans="1:5" x14ac:dyDescent="0.3">
      <c r="A1127" t="s">
        <v>4</v>
      </c>
      <c r="B1127" s="1" t="s">
        <v>13</v>
      </c>
      <c r="C1127" t="s">
        <v>12</v>
      </c>
      <c r="D1127" t="s">
        <v>5</v>
      </c>
      <c r="E1127" t="s">
        <v>20</v>
      </c>
    </row>
    <row r="1128" spans="1:5" x14ac:dyDescent="0.3">
      <c r="A1128" t="s">
        <v>4</v>
      </c>
      <c r="B1128" s="1" t="s">
        <v>13</v>
      </c>
      <c r="C1128" t="s">
        <v>12</v>
      </c>
      <c r="D1128" t="s">
        <v>6</v>
      </c>
      <c r="E1128" t="s">
        <v>20</v>
      </c>
    </row>
    <row r="1129" spans="1:5" x14ac:dyDescent="0.3">
      <c r="A1129" t="s">
        <v>4</v>
      </c>
      <c r="B1129" s="1" t="s">
        <v>13</v>
      </c>
      <c r="C1129" t="s">
        <v>11</v>
      </c>
      <c r="D1129" t="s">
        <v>7</v>
      </c>
      <c r="E1129" t="s">
        <v>20</v>
      </c>
    </row>
    <row r="1130" spans="1:5" x14ac:dyDescent="0.3">
      <c r="A1130" t="s">
        <v>4</v>
      </c>
      <c r="B1130" s="1" t="s">
        <v>13</v>
      </c>
      <c r="C1130" t="s">
        <v>12</v>
      </c>
      <c r="D1130" t="s">
        <v>8</v>
      </c>
      <c r="E1130" t="s">
        <v>20</v>
      </c>
    </row>
    <row r="1131" spans="1:5" x14ac:dyDescent="0.3">
      <c r="A1131" t="s">
        <v>4</v>
      </c>
      <c r="B1131" s="1" t="s">
        <v>13</v>
      </c>
      <c r="C1131" t="s">
        <v>12</v>
      </c>
      <c r="D1131" t="s">
        <v>9</v>
      </c>
      <c r="E1131" t="s">
        <v>20</v>
      </c>
    </row>
    <row r="1132" spans="1:5" x14ac:dyDescent="0.3">
      <c r="A1132" t="s">
        <v>4</v>
      </c>
      <c r="B1132" s="1" t="s">
        <v>13</v>
      </c>
      <c r="C1132" t="s">
        <v>12</v>
      </c>
      <c r="D1132" t="s">
        <v>5</v>
      </c>
      <c r="E1132" t="s">
        <v>20</v>
      </c>
    </row>
    <row r="1133" spans="1:5" x14ac:dyDescent="0.3">
      <c r="A1133" t="s">
        <v>4</v>
      </c>
      <c r="B1133" s="1" t="s">
        <v>13</v>
      </c>
      <c r="C1133" t="s">
        <v>12</v>
      </c>
      <c r="D1133" t="s">
        <v>6</v>
      </c>
      <c r="E1133" t="s">
        <v>20</v>
      </c>
    </row>
    <row r="1134" spans="1:5" x14ac:dyDescent="0.3">
      <c r="A1134" t="s">
        <v>4</v>
      </c>
      <c r="B1134" s="1" t="s">
        <v>13</v>
      </c>
      <c r="C1134" t="s">
        <v>11</v>
      </c>
      <c r="D1134" t="s">
        <v>7</v>
      </c>
      <c r="E1134" t="s">
        <v>20</v>
      </c>
    </row>
    <row r="1135" spans="1:5" x14ac:dyDescent="0.3">
      <c r="A1135" t="s">
        <v>4</v>
      </c>
      <c r="B1135" s="1" t="s">
        <v>13</v>
      </c>
      <c r="C1135" t="s">
        <v>11</v>
      </c>
      <c r="D1135" t="s">
        <v>8</v>
      </c>
      <c r="E1135" t="s">
        <v>20</v>
      </c>
    </row>
    <row r="1136" spans="1:5" x14ac:dyDescent="0.3">
      <c r="A1136" t="s">
        <v>4</v>
      </c>
      <c r="B1136" s="1" t="s">
        <v>13</v>
      </c>
      <c r="C1136" t="s">
        <v>12</v>
      </c>
      <c r="D1136" t="s">
        <v>9</v>
      </c>
      <c r="E1136" t="s">
        <v>20</v>
      </c>
    </row>
    <row r="1137" spans="1:5" x14ac:dyDescent="0.3">
      <c r="A1137" t="s">
        <v>4</v>
      </c>
      <c r="B1137" s="1" t="s">
        <v>13</v>
      </c>
      <c r="C1137" t="s">
        <v>12</v>
      </c>
      <c r="D1137" t="s">
        <v>5</v>
      </c>
      <c r="E1137" t="s">
        <v>20</v>
      </c>
    </row>
    <row r="1138" spans="1:5" x14ac:dyDescent="0.3">
      <c r="A1138" t="s">
        <v>4</v>
      </c>
      <c r="B1138" s="1" t="s">
        <v>13</v>
      </c>
      <c r="C1138" t="s">
        <v>12</v>
      </c>
      <c r="D1138" t="s">
        <v>6</v>
      </c>
      <c r="E1138" t="s">
        <v>20</v>
      </c>
    </row>
    <row r="1139" spans="1:5" x14ac:dyDescent="0.3">
      <c r="A1139" t="s">
        <v>4</v>
      </c>
      <c r="B1139" s="1" t="s">
        <v>13</v>
      </c>
      <c r="C1139" t="s">
        <v>11</v>
      </c>
      <c r="D1139" t="s">
        <v>7</v>
      </c>
      <c r="E1139" t="s">
        <v>20</v>
      </c>
    </row>
    <row r="1140" spans="1:5" x14ac:dyDescent="0.3">
      <c r="A1140" t="s">
        <v>4</v>
      </c>
      <c r="B1140" s="1" t="s">
        <v>13</v>
      </c>
      <c r="C1140" t="s">
        <v>12</v>
      </c>
      <c r="D1140" t="s">
        <v>8</v>
      </c>
      <c r="E1140" t="s">
        <v>20</v>
      </c>
    </row>
    <row r="1141" spans="1:5" x14ac:dyDescent="0.3">
      <c r="A1141" t="s">
        <v>4</v>
      </c>
      <c r="B1141" s="1" t="s">
        <v>13</v>
      </c>
      <c r="C1141" t="s">
        <v>12</v>
      </c>
      <c r="D1141" t="s">
        <v>9</v>
      </c>
      <c r="E1141" t="s">
        <v>20</v>
      </c>
    </row>
    <row r="1142" spans="1:5" x14ac:dyDescent="0.3">
      <c r="A1142" t="s">
        <v>4</v>
      </c>
      <c r="B1142" s="1" t="s">
        <v>13</v>
      </c>
      <c r="C1142" t="s">
        <v>12</v>
      </c>
      <c r="D1142" t="s">
        <v>5</v>
      </c>
      <c r="E1142" t="s">
        <v>20</v>
      </c>
    </row>
    <row r="1143" spans="1:5" x14ac:dyDescent="0.3">
      <c r="A1143" t="s">
        <v>4</v>
      </c>
      <c r="B1143" s="1" t="s">
        <v>13</v>
      </c>
      <c r="C1143" t="s">
        <v>12</v>
      </c>
      <c r="D1143" t="s">
        <v>6</v>
      </c>
      <c r="E1143" t="s">
        <v>20</v>
      </c>
    </row>
    <row r="1144" spans="1:5" x14ac:dyDescent="0.3">
      <c r="A1144" t="s">
        <v>4</v>
      </c>
      <c r="B1144" s="1" t="s">
        <v>13</v>
      </c>
      <c r="C1144" t="s">
        <v>11</v>
      </c>
      <c r="D1144" t="s">
        <v>7</v>
      </c>
      <c r="E1144" t="s">
        <v>20</v>
      </c>
    </row>
    <row r="1145" spans="1:5" x14ac:dyDescent="0.3">
      <c r="A1145" t="s">
        <v>4</v>
      </c>
      <c r="B1145" s="1" t="s">
        <v>13</v>
      </c>
      <c r="C1145" t="s">
        <v>11</v>
      </c>
      <c r="D1145" t="s">
        <v>8</v>
      </c>
      <c r="E1145" t="s">
        <v>20</v>
      </c>
    </row>
    <row r="1146" spans="1:5" x14ac:dyDescent="0.3">
      <c r="A1146" t="s">
        <v>4</v>
      </c>
      <c r="B1146" s="1" t="s">
        <v>13</v>
      </c>
      <c r="C1146" t="s">
        <v>11</v>
      </c>
      <c r="D1146" t="s">
        <v>9</v>
      </c>
      <c r="E1146" t="s">
        <v>20</v>
      </c>
    </row>
    <row r="1147" spans="1:5" x14ac:dyDescent="0.3">
      <c r="A1147" t="s">
        <v>4</v>
      </c>
      <c r="B1147" s="1" t="s">
        <v>13</v>
      </c>
      <c r="C1147" t="s">
        <v>12</v>
      </c>
      <c r="D1147" t="s">
        <v>5</v>
      </c>
      <c r="E1147" t="s">
        <v>20</v>
      </c>
    </row>
    <row r="1148" spans="1:5" x14ac:dyDescent="0.3">
      <c r="A1148" t="s">
        <v>4</v>
      </c>
      <c r="B1148" s="1" t="s">
        <v>13</v>
      </c>
      <c r="C1148" t="s">
        <v>12</v>
      </c>
      <c r="D1148" t="s">
        <v>6</v>
      </c>
      <c r="E1148" t="s">
        <v>20</v>
      </c>
    </row>
    <row r="1149" spans="1:5" x14ac:dyDescent="0.3">
      <c r="A1149" t="s">
        <v>4</v>
      </c>
      <c r="B1149" s="1" t="s">
        <v>13</v>
      </c>
      <c r="C1149" t="s">
        <v>11</v>
      </c>
      <c r="D1149" t="s">
        <v>7</v>
      </c>
      <c r="E1149" t="s">
        <v>20</v>
      </c>
    </row>
    <row r="1150" spans="1:5" x14ac:dyDescent="0.3">
      <c r="A1150" t="s">
        <v>4</v>
      </c>
      <c r="B1150" s="1" t="s">
        <v>13</v>
      </c>
      <c r="C1150" t="s">
        <v>12</v>
      </c>
      <c r="D1150" t="s">
        <v>8</v>
      </c>
      <c r="E1150" t="s">
        <v>20</v>
      </c>
    </row>
    <row r="1151" spans="1:5" x14ac:dyDescent="0.3">
      <c r="A1151" t="s">
        <v>4</v>
      </c>
      <c r="B1151" s="1" t="s">
        <v>13</v>
      </c>
      <c r="C1151" t="s">
        <v>12</v>
      </c>
      <c r="D1151" t="s">
        <v>9</v>
      </c>
      <c r="E1151" t="s">
        <v>20</v>
      </c>
    </row>
    <row r="1152" spans="1:5" x14ac:dyDescent="0.3">
      <c r="A1152" t="s">
        <v>4</v>
      </c>
      <c r="B1152" s="1" t="s">
        <v>13</v>
      </c>
      <c r="C1152" t="s">
        <v>12</v>
      </c>
      <c r="D1152" t="s">
        <v>5</v>
      </c>
      <c r="E1152" t="s">
        <v>20</v>
      </c>
    </row>
    <row r="1153" spans="1:5" x14ac:dyDescent="0.3">
      <c r="A1153" t="s">
        <v>4</v>
      </c>
      <c r="B1153" s="1" t="s">
        <v>13</v>
      </c>
      <c r="C1153" t="s">
        <v>12</v>
      </c>
      <c r="D1153" t="s">
        <v>6</v>
      </c>
      <c r="E1153" t="s">
        <v>20</v>
      </c>
    </row>
    <row r="1154" spans="1:5" x14ac:dyDescent="0.3">
      <c r="A1154" t="s">
        <v>4</v>
      </c>
      <c r="B1154" s="1" t="s">
        <v>13</v>
      </c>
      <c r="C1154" t="s">
        <v>11</v>
      </c>
      <c r="D1154" t="s">
        <v>7</v>
      </c>
      <c r="E1154" t="s">
        <v>20</v>
      </c>
    </row>
    <row r="1155" spans="1:5" x14ac:dyDescent="0.3">
      <c r="A1155" t="s">
        <v>4</v>
      </c>
      <c r="B1155" s="1" t="s">
        <v>13</v>
      </c>
      <c r="C1155" t="s">
        <v>12</v>
      </c>
      <c r="D1155" t="s">
        <v>8</v>
      </c>
      <c r="E1155" t="s">
        <v>20</v>
      </c>
    </row>
    <row r="1156" spans="1:5" x14ac:dyDescent="0.3">
      <c r="A1156" t="s">
        <v>4</v>
      </c>
      <c r="B1156" s="1" t="s">
        <v>13</v>
      </c>
      <c r="C1156" t="s">
        <v>12</v>
      </c>
      <c r="D1156" t="s">
        <v>9</v>
      </c>
      <c r="E1156" t="s">
        <v>20</v>
      </c>
    </row>
    <row r="1157" spans="1:5" x14ac:dyDescent="0.3">
      <c r="A1157" t="s">
        <v>4</v>
      </c>
      <c r="B1157" s="1" t="s">
        <v>13</v>
      </c>
      <c r="C1157" t="s">
        <v>12</v>
      </c>
      <c r="D1157" t="s">
        <v>5</v>
      </c>
      <c r="E1157" t="s">
        <v>20</v>
      </c>
    </row>
    <row r="1158" spans="1:5" x14ac:dyDescent="0.3">
      <c r="A1158" t="s">
        <v>4</v>
      </c>
      <c r="B1158" s="1" t="s">
        <v>13</v>
      </c>
      <c r="C1158" t="s">
        <v>12</v>
      </c>
      <c r="D1158" t="s">
        <v>6</v>
      </c>
      <c r="E1158" t="s">
        <v>20</v>
      </c>
    </row>
    <row r="1159" spans="1:5" x14ac:dyDescent="0.3">
      <c r="A1159" t="s">
        <v>4</v>
      </c>
      <c r="B1159" s="1" t="s">
        <v>13</v>
      </c>
      <c r="C1159" t="s">
        <v>11</v>
      </c>
      <c r="D1159" t="s">
        <v>7</v>
      </c>
      <c r="E1159" t="s">
        <v>20</v>
      </c>
    </row>
    <row r="1160" spans="1:5" x14ac:dyDescent="0.3">
      <c r="A1160" t="s">
        <v>4</v>
      </c>
      <c r="B1160" s="1" t="s">
        <v>13</v>
      </c>
      <c r="C1160" t="s">
        <v>12</v>
      </c>
      <c r="D1160" t="s">
        <v>8</v>
      </c>
      <c r="E1160" t="s">
        <v>20</v>
      </c>
    </row>
    <row r="1161" spans="1:5" x14ac:dyDescent="0.3">
      <c r="A1161" t="s">
        <v>4</v>
      </c>
      <c r="B1161" s="1" t="s">
        <v>13</v>
      </c>
      <c r="C1161" t="s">
        <v>12</v>
      </c>
      <c r="D1161" t="s">
        <v>9</v>
      </c>
      <c r="E1161" t="s">
        <v>20</v>
      </c>
    </row>
    <row r="1162" spans="1:5" x14ac:dyDescent="0.3">
      <c r="A1162" t="s">
        <v>4</v>
      </c>
      <c r="B1162" s="1" t="s">
        <v>13</v>
      </c>
      <c r="C1162" t="s">
        <v>12</v>
      </c>
      <c r="D1162" t="s">
        <v>5</v>
      </c>
      <c r="E1162" t="s">
        <v>20</v>
      </c>
    </row>
    <row r="1163" spans="1:5" x14ac:dyDescent="0.3">
      <c r="A1163" t="s">
        <v>4</v>
      </c>
      <c r="B1163" s="1" t="s">
        <v>13</v>
      </c>
      <c r="C1163" t="s">
        <v>12</v>
      </c>
      <c r="D1163" t="s">
        <v>6</v>
      </c>
      <c r="E1163" t="s">
        <v>20</v>
      </c>
    </row>
    <row r="1164" spans="1:5" x14ac:dyDescent="0.3">
      <c r="A1164" t="s">
        <v>4</v>
      </c>
      <c r="B1164" s="1" t="s">
        <v>13</v>
      </c>
      <c r="C1164" t="s">
        <v>11</v>
      </c>
      <c r="D1164" t="s">
        <v>7</v>
      </c>
      <c r="E1164" t="s">
        <v>20</v>
      </c>
    </row>
    <row r="1165" spans="1:5" x14ac:dyDescent="0.3">
      <c r="A1165" t="s">
        <v>4</v>
      </c>
      <c r="B1165" s="1" t="s">
        <v>13</v>
      </c>
      <c r="C1165" t="s">
        <v>12</v>
      </c>
      <c r="D1165" t="s">
        <v>8</v>
      </c>
      <c r="E1165" t="s">
        <v>20</v>
      </c>
    </row>
    <row r="1166" spans="1:5" x14ac:dyDescent="0.3">
      <c r="A1166" t="s">
        <v>4</v>
      </c>
      <c r="B1166" s="1" t="s">
        <v>13</v>
      </c>
      <c r="C1166" t="s">
        <v>12</v>
      </c>
      <c r="D1166" t="s">
        <v>9</v>
      </c>
      <c r="E1166" t="s">
        <v>20</v>
      </c>
    </row>
    <row r="1167" spans="1:5" x14ac:dyDescent="0.3">
      <c r="A1167" t="s">
        <v>4</v>
      </c>
      <c r="B1167" s="1" t="s">
        <v>13</v>
      </c>
      <c r="C1167" t="s">
        <v>12</v>
      </c>
      <c r="D1167" t="s">
        <v>5</v>
      </c>
      <c r="E1167" t="s">
        <v>20</v>
      </c>
    </row>
    <row r="1168" spans="1:5" x14ac:dyDescent="0.3">
      <c r="A1168" t="s">
        <v>4</v>
      </c>
      <c r="B1168" s="1" t="s">
        <v>13</v>
      </c>
      <c r="C1168" t="s">
        <v>12</v>
      </c>
      <c r="D1168" t="s">
        <v>6</v>
      </c>
      <c r="E1168" t="s">
        <v>20</v>
      </c>
    </row>
    <row r="1169" spans="1:5" x14ac:dyDescent="0.3">
      <c r="A1169" t="s">
        <v>4</v>
      </c>
      <c r="B1169" s="1" t="s">
        <v>13</v>
      </c>
      <c r="C1169" t="s">
        <v>11</v>
      </c>
      <c r="D1169" t="s">
        <v>7</v>
      </c>
      <c r="E1169" t="s">
        <v>20</v>
      </c>
    </row>
    <row r="1170" spans="1:5" x14ac:dyDescent="0.3">
      <c r="A1170" t="s">
        <v>4</v>
      </c>
      <c r="B1170" s="1" t="s">
        <v>13</v>
      </c>
      <c r="C1170" t="s">
        <v>12</v>
      </c>
      <c r="D1170" t="s">
        <v>8</v>
      </c>
      <c r="E1170" t="s">
        <v>20</v>
      </c>
    </row>
    <row r="1171" spans="1:5" x14ac:dyDescent="0.3">
      <c r="A1171" t="s">
        <v>4</v>
      </c>
      <c r="B1171" s="1" t="s">
        <v>13</v>
      </c>
      <c r="C1171" t="s">
        <v>12</v>
      </c>
      <c r="D1171" t="s">
        <v>9</v>
      </c>
      <c r="E1171" t="s">
        <v>20</v>
      </c>
    </row>
    <row r="1172" spans="1:5" x14ac:dyDescent="0.3">
      <c r="A1172" t="s">
        <v>4</v>
      </c>
      <c r="B1172" s="1" t="s">
        <v>13</v>
      </c>
      <c r="C1172" t="s">
        <v>12</v>
      </c>
      <c r="D1172" t="s">
        <v>5</v>
      </c>
      <c r="E1172" t="s">
        <v>20</v>
      </c>
    </row>
    <row r="1173" spans="1:5" x14ac:dyDescent="0.3">
      <c r="A1173" t="s">
        <v>4</v>
      </c>
      <c r="B1173" s="1" t="s">
        <v>13</v>
      </c>
      <c r="C1173" t="s">
        <v>12</v>
      </c>
      <c r="D1173" t="s">
        <v>6</v>
      </c>
      <c r="E1173" t="s">
        <v>20</v>
      </c>
    </row>
    <row r="1174" spans="1:5" x14ac:dyDescent="0.3">
      <c r="A1174" t="s">
        <v>4</v>
      </c>
      <c r="B1174" s="1" t="s">
        <v>13</v>
      </c>
      <c r="C1174" t="s">
        <v>11</v>
      </c>
      <c r="D1174" t="s">
        <v>7</v>
      </c>
      <c r="E1174" t="s">
        <v>20</v>
      </c>
    </row>
    <row r="1175" spans="1:5" x14ac:dyDescent="0.3">
      <c r="A1175" t="s">
        <v>4</v>
      </c>
      <c r="B1175" s="1" t="s">
        <v>13</v>
      </c>
      <c r="C1175" t="s">
        <v>12</v>
      </c>
      <c r="D1175" t="s">
        <v>8</v>
      </c>
      <c r="E1175" t="s">
        <v>20</v>
      </c>
    </row>
    <row r="1176" spans="1:5" x14ac:dyDescent="0.3">
      <c r="A1176" t="s">
        <v>4</v>
      </c>
      <c r="B1176" s="1" t="s">
        <v>13</v>
      </c>
      <c r="C1176" t="s">
        <v>12</v>
      </c>
      <c r="D1176" t="s">
        <v>9</v>
      </c>
      <c r="E1176" t="s">
        <v>20</v>
      </c>
    </row>
    <row r="1177" spans="1:5" x14ac:dyDescent="0.3">
      <c r="A1177" t="s">
        <v>4</v>
      </c>
      <c r="B1177" s="1" t="s">
        <v>13</v>
      </c>
      <c r="C1177" t="s">
        <v>12</v>
      </c>
      <c r="D1177" t="s">
        <v>5</v>
      </c>
      <c r="E1177" t="s">
        <v>20</v>
      </c>
    </row>
    <row r="1178" spans="1:5" x14ac:dyDescent="0.3">
      <c r="A1178" t="s">
        <v>4</v>
      </c>
      <c r="B1178" s="1" t="s">
        <v>13</v>
      </c>
      <c r="C1178" t="s">
        <v>12</v>
      </c>
      <c r="D1178" t="s">
        <v>6</v>
      </c>
      <c r="E1178" t="s">
        <v>20</v>
      </c>
    </row>
    <row r="1179" spans="1:5" x14ac:dyDescent="0.3">
      <c r="A1179" t="s">
        <v>4</v>
      </c>
      <c r="B1179" s="1" t="s">
        <v>13</v>
      </c>
      <c r="C1179" t="s">
        <v>11</v>
      </c>
      <c r="D1179" t="s">
        <v>7</v>
      </c>
      <c r="E1179" t="s">
        <v>20</v>
      </c>
    </row>
    <row r="1180" spans="1:5" x14ac:dyDescent="0.3">
      <c r="A1180" t="s">
        <v>4</v>
      </c>
      <c r="B1180" s="1" t="s">
        <v>13</v>
      </c>
      <c r="C1180" t="s">
        <v>12</v>
      </c>
      <c r="D1180" t="s">
        <v>8</v>
      </c>
      <c r="E1180" t="s">
        <v>20</v>
      </c>
    </row>
    <row r="1181" spans="1:5" x14ac:dyDescent="0.3">
      <c r="A1181" t="s">
        <v>4</v>
      </c>
      <c r="B1181" s="1" t="s">
        <v>13</v>
      </c>
      <c r="C1181" t="s">
        <v>12</v>
      </c>
      <c r="D1181" t="s">
        <v>9</v>
      </c>
      <c r="E1181" t="s">
        <v>20</v>
      </c>
    </row>
    <row r="1182" spans="1:5" x14ac:dyDescent="0.3">
      <c r="A1182" t="s">
        <v>4</v>
      </c>
      <c r="B1182" s="1" t="s">
        <v>13</v>
      </c>
      <c r="C1182" t="s">
        <v>12</v>
      </c>
      <c r="D1182" t="s">
        <v>5</v>
      </c>
      <c r="E1182" t="s">
        <v>20</v>
      </c>
    </row>
    <row r="1183" spans="1:5" x14ac:dyDescent="0.3">
      <c r="A1183" t="s">
        <v>4</v>
      </c>
      <c r="B1183" s="1" t="s">
        <v>13</v>
      </c>
      <c r="C1183" t="s">
        <v>12</v>
      </c>
      <c r="D1183" t="s">
        <v>6</v>
      </c>
      <c r="E1183" t="s">
        <v>20</v>
      </c>
    </row>
    <row r="1184" spans="1:5" x14ac:dyDescent="0.3">
      <c r="A1184" t="s">
        <v>4</v>
      </c>
      <c r="B1184" s="1" t="s">
        <v>13</v>
      </c>
      <c r="C1184" t="s">
        <v>11</v>
      </c>
      <c r="D1184" t="s">
        <v>7</v>
      </c>
      <c r="E1184" t="s">
        <v>20</v>
      </c>
    </row>
    <row r="1185" spans="1:5" x14ac:dyDescent="0.3">
      <c r="A1185" t="s">
        <v>4</v>
      </c>
      <c r="B1185" s="1" t="s">
        <v>13</v>
      </c>
      <c r="C1185" t="s">
        <v>12</v>
      </c>
      <c r="D1185" t="s">
        <v>8</v>
      </c>
      <c r="E1185" t="s">
        <v>20</v>
      </c>
    </row>
    <row r="1186" spans="1:5" x14ac:dyDescent="0.3">
      <c r="A1186" t="s">
        <v>4</v>
      </c>
      <c r="B1186" s="1" t="s">
        <v>13</v>
      </c>
      <c r="C1186" t="s">
        <v>12</v>
      </c>
      <c r="D1186" t="s">
        <v>9</v>
      </c>
      <c r="E1186" t="s">
        <v>20</v>
      </c>
    </row>
    <row r="1187" spans="1:5" x14ac:dyDescent="0.3">
      <c r="A1187" t="s">
        <v>4</v>
      </c>
      <c r="B1187" s="1" t="s">
        <v>13</v>
      </c>
      <c r="C1187" t="s">
        <v>12</v>
      </c>
      <c r="D1187" t="s">
        <v>5</v>
      </c>
      <c r="E1187" t="s">
        <v>20</v>
      </c>
    </row>
    <row r="1188" spans="1:5" x14ac:dyDescent="0.3">
      <c r="A1188" t="s">
        <v>4</v>
      </c>
      <c r="B1188" s="1" t="s">
        <v>13</v>
      </c>
      <c r="C1188" t="s">
        <v>12</v>
      </c>
      <c r="D1188" t="s">
        <v>6</v>
      </c>
      <c r="E1188" t="s">
        <v>20</v>
      </c>
    </row>
    <row r="1189" spans="1:5" x14ac:dyDescent="0.3">
      <c r="A1189" t="s">
        <v>4</v>
      </c>
      <c r="B1189" s="1" t="s">
        <v>13</v>
      </c>
      <c r="C1189" t="s">
        <v>11</v>
      </c>
      <c r="D1189" t="s">
        <v>7</v>
      </c>
      <c r="E1189" t="s">
        <v>20</v>
      </c>
    </row>
    <row r="1190" spans="1:5" x14ac:dyDescent="0.3">
      <c r="A1190" t="s">
        <v>4</v>
      </c>
      <c r="B1190" s="1" t="s">
        <v>13</v>
      </c>
      <c r="C1190" t="s">
        <v>12</v>
      </c>
      <c r="D1190" t="s">
        <v>8</v>
      </c>
      <c r="E1190" t="s">
        <v>20</v>
      </c>
    </row>
    <row r="1191" spans="1:5" x14ac:dyDescent="0.3">
      <c r="A1191" t="s">
        <v>4</v>
      </c>
      <c r="B1191" s="1" t="s">
        <v>13</v>
      </c>
      <c r="C1191" t="s">
        <v>12</v>
      </c>
      <c r="D1191" t="s">
        <v>9</v>
      </c>
      <c r="E1191" t="s">
        <v>20</v>
      </c>
    </row>
    <row r="1192" spans="1:5" x14ac:dyDescent="0.3">
      <c r="A1192" t="s">
        <v>4</v>
      </c>
      <c r="B1192" s="1" t="s">
        <v>13</v>
      </c>
      <c r="C1192" t="s">
        <v>12</v>
      </c>
      <c r="D1192" t="s">
        <v>5</v>
      </c>
      <c r="E1192" t="s">
        <v>20</v>
      </c>
    </row>
    <row r="1193" spans="1:5" x14ac:dyDescent="0.3">
      <c r="A1193" t="s">
        <v>4</v>
      </c>
      <c r="B1193" s="1" t="s">
        <v>13</v>
      </c>
      <c r="C1193" t="s">
        <v>12</v>
      </c>
      <c r="D1193" t="s">
        <v>6</v>
      </c>
      <c r="E1193" t="s">
        <v>20</v>
      </c>
    </row>
    <row r="1194" spans="1:5" x14ac:dyDescent="0.3">
      <c r="A1194" t="s">
        <v>4</v>
      </c>
      <c r="B1194" s="1" t="s">
        <v>13</v>
      </c>
      <c r="C1194" t="s">
        <v>11</v>
      </c>
      <c r="D1194" t="s">
        <v>7</v>
      </c>
      <c r="E1194" t="s">
        <v>20</v>
      </c>
    </row>
    <row r="1195" spans="1:5" x14ac:dyDescent="0.3">
      <c r="A1195" t="s">
        <v>4</v>
      </c>
      <c r="B1195" s="1" t="s">
        <v>13</v>
      </c>
      <c r="C1195" t="s">
        <v>12</v>
      </c>
      <c r="D1195" t="s">
        <v>8</v>
      </c>
      <c r="E1195" t="s">
        <v>20</v>
      </c>
    </row>
    <row r="1196" spans="1:5" x14ac:dyDescent="0.3">
      <c r="A1196" t="s">
        <v>4</v>
      </c>
      <c r="B1196" s="1" t="s">
        <v>13</v>
      </c>
      <c r="C1196" t="s">
        <v>12</v>
      </c>
      <c r="D1196" t="s">
        <v>9</v>
      </c>
      <c r="E1196" t="s">
        <v>20</v>
      </c>
    </row>
    <row r="1197" spans="1:5" x14ac:dyDescent="0.3">
      <c r="A1197" t="s">
        <v>4</v>
      </c>
      <c r="B1197" s="1" t="s">
        <v>13</v>
      </c>
      <c r="C1197" t="s">
        <v>12</v>
      </c>
      <c r="D1197" t="s">
        <v>5</v>
      </c>
      <c r="E1197" t="s">
        <v>20</v>
      </c>
    </row>
    <row r="1198" spans="1:5" x14ac:dyDescent="0.3">
      <c r="A1198" t="s">
        <v>4</v>
      </c>
      <c r="B1198" s="1" t="s">
        <v>13</v>
      </c>
      <c r="C1198" t="s">
        <v>12</v>
      </c>
      <c r="D1198" t="s">
        <v>6</v>
      </c>
      <c r="E1198" t="s">
        <v>20</v>
      </c>
    </row>
    <row r="1199" spans="1:5" x14ac:dyDescent="0.3">
      <c r="A1199" t="s">
        <v>4</v>
      </c>
      <c r="B1199" s="1" t="s">
        <v>13</v>
      </c>
      <c r="C1199" t="s">
        <v>11</v>
      </c>
      <c r="D1199" t="s">
        <v>7</v>
      </c>
      <c r="E1199" t="s">
        <v>20</v>
      </c>
    </row>
    <row r="1200" spans="1:5" x14ac:dyDescent="0.3">
      <c r="A1200" t="s">
        <v>4</v>
      </c>
      <c r="B1200" s="1" t="s">
        <v>13</v>
      </c>
      <c r="C1200" t="s">
        <v>12</v>
      </c>
      <c r="D1200" t="s">
        <v>8</v>
      </c>
      <c r="E1200" t="s">
        <v>20</v>
      </c>
    </row>
    <row r="1201" spans="1:5" x14ac:dyDescent="0.3">
      <c r="A1201" t="s">
        <v>4</v>
      </c>
      <c r="B1201" s="1" t="s">
        <v>13</v>
      </c>
      <c r="C1201" t="s">
        <v>12</v>
      </c>
      <c r="D1201" t="s">
        <v>9</v>
      </c>
      <c r="E1201" t="s">
        <v>20</v>
      </c>
    </row>
    <row r="1202" spans="1:5" x14ac:dyDescent="0.3">
      <c r="A1202" t="s">
        <v>4</v>
      </c>
      <c r="B1202" s="1" t="s">
        <v>13</v>
      </c>
      <c r="C1202" t="s">
        <v>12</v>
      </c>
      <c r="D1202" t="s">
        <v>5</v>
      </c>
      <c r="E1202" t="s">
        <v>20</v>
      </c>
    </row>
    <row r="1203" spans="1:5" x14ac:dyDescent="0.3">
      <c r="A1203" t="s">
        <v>4</v>
      </c>
      <c r="B1203" s="1" t="s">
        <v>13</v>
      </c>
      <c r="C1203" t="s">
        <v>12</v>
      </c>
      <c r="D1203" t="s">
        <v>6</v>
      </c>
      <c r="E1203" t="s">
        <v>20</v>
      </c>
    </row>
    <row r="1204" spans="1:5" x14ac:dyDescent="0.3">
      <c r="A1204" t="s">
        <v>4</v>
      </c>
      <c r="B1204" s="1" t="s">
        <v>13</v>
      </c>
      <c r="C1204" t="s">
        <v>11</v>
      </c>
      <c r="D1204" t="s">
        <v>7</v>
      </c>
      <c r="E1204" t="s">
        <v>20</v>
      </c>
    </row>
    <row r="1205" spans="1:5" x14ac:dyDescent="0.3">
      <c r="A1205" t="s">
        <v>4</v>
      </c>
      <c r="B1205" s="1" t="s">
        <v>13</v>
      </c>
      <c r="C1205" t="s">
        <v>12</v>
      </c>
      <c r="D1205" t="s">
        <v>8</v>
      </c>
      <c r="E1205" t="s">
        <v>20</v>
      </c>
    </row>
    <row r="1206" spans="1:5" x14ac:dyDescent="0.3">
      <c r="A1206" t="s">
        <v>4</v>
      </c>
      <c r="B1206" s="1" t="s">
        <v>13</v>
      </c>
      <c r="C1206" t="s">
        <v>12</v>
      </c>
      <c r="D1206" t="s">
        <v>9</v>
      </c>
      <c r="E1206" t="s">
        <v>20</v>
      </c>
    </row>
    <row r="1207" spans="1:5" x14ac:dyDescent="0.3">
      <c r="A1207" t="s">
        <v>4</v>
      </c>
      <c r="B1207" s="1" t="s">
        <v>13</v>
      </c>
      <c r="C1207" t="s">
        <v>12</v>
      </c>
      <c r="D1207" t="s">
        <v>5</v>
      </c>
      <c r="E1207" t="s">
        <v>20</v>
      </c>
    </row>
    <row r="1208" spans="1:5" x14ac:dyDescent="0.3">
      <c r="A1208" t="s">
        <v>4</v>
      </c>
      <c r="B1208" s="1" t="s">
        <v>13</v>
      </c>
      <c r="C1208" t="s">
        <v>12</v>
      </c>
      <c r="D1208" t="s">
        <v>6</v>
      </c>
      <c r="E1208" t="s">
        <v>20</v>
      </c>
    </row>
    <row r="1209" spans="1:5" x14ac:dyDescent="0.3">
      <c r="A1209" t="s">
        <v>4</v>
      </c>
      <c r="B1209" s="1" t="s">
        <v>13</v>
      </c>
      <c r="C1209" t="s">
        <v>11</v>
      </c>
      <c r="D1209" t="s">
        <v>7</v>
      </c>
      <c r="E1209" t="s">
        <v>20</v>
      </c>
    </row>
    <row r="1210" spans="1:5" x14ac:dyDescent="0.3">
      <c r="A1210" t="s">
        <v>4</v>
      </c>
      <c r="B1210" s="1" t="s">
        <v>13</v>
      </c>
      <c r="C1210" t="s">
        <v>11</v>
      </c>
      <c r="D1210" t="s">
        <v>8</v>
      </c>
      <c r="E1210" t="s">
        <v>20</v>
      </c>
    </row>
    <row r="1211" spans="1:5" x14ac:dyDescent="0.3">
      <c r="A1211" t="s">
        <v>4</v>
      </c>
      <c r="B1211" s="1" t="s">
        <v>13</v>
      </c>
      <c r="C1211" t="s">
        <v>11</v>
      </c>
      <c r="D1211" t="s">
        <v>9</v>
      </c>
      <c r="E1211" t="s">
        <v>20</v>
      </c>
    </row>
    <row r="1212" spans="1:5" x14ac:dyDescent="0.3">
      <c r="A1212" t="s">
        <v>4</v>
      </c>
      <c r="B1212" s="1" t="s">
        <v>13</v>
      </c>
      <c r="C1212" t="s">
        <v>12</v>
      </c>
      <c r="D1212" t="s">
        <v>5</v>
      </c>
      <c r="E1212" t="s">
        <v>20</v>
      </c>
    </row>
    <row r="1213" spans="1:5" x14ac:dyDescent="0.3">
      <c r="A1213" t="s">
        <v>4</v>
      </c>
      <c r="B1213" s="1" t="s">
        <v>13</v>
      </c>
      <c r="C1213" t="s">
        <v>12</v>
      </c>
      <c r="D1213" t="s">
        <v>6</v>
      </c>
      <c r="E1213" t="s">
        <v>20</v>
      </c>
    </row>
    <row r="1214" spans="1:5" x14ac:dyDescent="0.3">
      <c r="A1214" t="s">
        <v>4</v>
      </c>
      <c r="B1214" s="1" t="s">
        <v>13</v>
      </c>
      <c r="C1214" t="s">
        <v>11</v>
      </c>
      <c r="D1214" t="s">
        <v>7</v>
      </c>
      <c r="E1214" t="s">
        <v>20</v>
      </c>
    </row>
    <row r="1215" spans="1:5" x14ac:dyDescent="0.3">
      <c r="A1215" t="s">
        <v>4</v>
      </c>
      <c r="B1215" s="1" t="s">
        <v>13</v>
      </c>
      <c r="C1215" t="s">
        <v>11</v>
      </c>
      <c r="D1215" t="s">
        <v>8</v>
      </c>
      <c r="E1215" t="s">
        <v>20</v>
      </c>
    </row>
    <row r="1216" spans="1:5" x14ac:dyDescent="0.3">
      <c r="A1216" t="s">
        <v>4</v>
      </c>
      <c r="B1216" s="1" t="s">
        <v>13</v>
      </c>
      <c r="C1216" t="s">
        <v>11</v>
      </c>
      <c r="D1216" t="s">
        <v>9</v>
      </c>
      <c r="E1216" t="s">
        <v>20</v>
      </c>
    </row>
    <row r="1217" spans="1:5" x14ac:dyDescent="0.3">
      <c r="A1217" t="s">
        <v>4</v>
      </c>
      <c r="B1217" s="1" t="s">
        <v>13</v>
      </c>
      <c r="C1217" t="s">
        <v>12</v>
      </c>
      <c r="D1217" t="s">
        <v>5</v>
      </c>
      <c r="E1217" t="s">
        <v>20</v>
      </c>
    </row>
    <row r="1218" spans="1:5" x14ac:dyDescent="0.3">
      <c r="A1218" t="s">
        <v>4</v>
      </c>
      <c r="B1218" s="1" t="s">
        <v>13</v>
      </c>
      <c r="C1218" t="s">
        <v>12</v>
      </c>
      <c r="D1218" t="s">
        <v>6</v>
      </c>
      <c r="E1218" t="s">
        <v>20</v>
      </c>
    </row>
    <row r="1219" spans="1:5" x14ac:dyDescent="0.3">
      <c r="A1219" t="s">
        <v>4</v>
      </c>
      <c r="B1219" s="1" t="s">
        <v>13</v>
      </c>
      <c r="C1219" t="s">
        <v>11</v>
      </c>
      <c r="D1219" t="s">
        <v>7</v>
      </c>
      <c r="E1219" t="s">
        <v>20</v>
      </c>
    </row>
    <row r="1220" spans="1:5" x14ac:dyDescent="0.3">
      <c r="A1220" t="s">
        <v>4</v>
      </c>
      <c r="B1220" s="1" t="s">
        <v>13</v>
      </c>
      <c r="C1220" t="s">
        <v>11</v>
      </c>
      <c r="D1220" t="s">
        <v>8</v>
      </c>
      <c r="E1220" t="s">
        <v>20</v>
      </c>
    </row>
    <row r="1221" spans="1:5" x14ac:dyDescent="0.3">
      <c r="A1221" t="s">
        <v>4</v>
      </c>
      <c r="B1221" s="1" t="s">
        <v>13</v>
      </c>
      <c r="C1221" t="s">
        <v>11</v>
      </c>
      <c r="D1221" t="s">
        <v>9</v>
      </c>
      <c r="E1221" t="s">
        <v>20</v>
      </c>
    </row>
    <row r="1222" spans="1:5" x14ac:dyDescent="0.3">
      <c r="A1222" t="s">
        <v>4</v>
      </c>
      <c r="B1222" s="1" t="s">
        <v>13</v>
      </c>
      <c r="C1222" t="s">
        <v>12</v>
      </c>
      <c r="D1222" t="s">
        <v>5</v>
      </c>
      <c r="E1222" t="s">
        <v>20</v>
      </c>
    </row>
    <row r="1223" spans="1:5" x14ac:dyDescent="0.3">
      <c r="A1223" t="s">
        <v>4</v>
      </c>
      <c r="B1223" s="1" t="s">
        <v>13</v>
      </c>
      <c r="C1223" t="s">
        <v>12</v>
      </c>
      <c r="D1223" t="s">
        <v>6</v>
      </c>
      <c r="E1223" t="s">
        <v>20</v>
      </c>
    </row>
    <row r="1224" spans="1:5" x14ac:dyDescent="0.3">
      <c r="A1224" t="s">
        <v>4</v>
      </c>
      <c r="B1224" s="1" t="s">
        <v>13</v>
      </c>
      <c r="C1224" t="s">
        <v>11</v>
      </c>
      <c r="D1224" t="s">
        <v>7</v>
      </c>
      <c r="E1224" t="s">
        <v>20</v>
      </c>
    </row>
    <row r="1225" spans="1:5" x14ac:dyDescent="0.3">
      <c r="A1225" t="s">
        <v>4</v>
      </c>
      <c r="B1225" s="1" t="s">
        <v>13</v>
      </c>
      <c r="C1225" t="s">
        <v>12</v>
      </c>
      <c r="D1225" t="s">
        <v>8</v>
      </c>
      <c r="E1225" t="s">
        <v>20</v>
      </c>
    </row>
    <row r="1226" spans="1:5" x14ac:dyDescent="0.3">
      <c r="A1226" t="s">
        <v>4</v>
      </c>
      <c r="B1226" s="1" t="s">
        <v>13</v>
      </c>
      <c r="C1226" t="s">
        <v>12</v>
      </c>
      <c r="D1226" t="s">
        <v>9</v>
      </c>
      <c r="E1226" t="s">
        <v>20</v>
      </c>
    </row>
    <row r="1227" spans="1:5" x14ac:dyDescent="0.3">
      <c r="A1227" t="s">
        <v>4</v>
      </c>
      <c r="B1227" s="1" t="s">
        <v>13</v>
      </c>
      <c r="C1227" t="s">
        <v>12</v>
      </c>
      <c r="D1227" t="s">
        <v>5</v>
      </c>
      <c r="E1227" t="s">
        <v>20</v>
      </c>
    </row>
    <row r="1228" spans="1:5" x14ac:dyDescent="0.3">
      <c r="A1228" t="s">
        <v>4</v>
      </c>
      <c r="B1228" s="1" t="s">
        <v>13</v>
      </c>
      <c r="C1228" t="s">
        <v>12</v>
      </c>
      <c r="D1228" t="s">
        <v>6</v>
      </c>
      <c r="E1228" t="s">
        <v>20</v>
      </c>
    </row>
    <row r="1229" spans="1:5" x14ac:dyDescent="0.3">
      <c r="A1229" t="s">
        <v>4</v>
      </c>
      <c r="B1229" s="1" t="s">
        <v>13</v>
      </c>
      <c r="C1229" t="s">
        <v>11</v>
      </c>
      <c r="D1229" t="s">
        <v>7</v>
      </c>
      <c r="E1229" t="s">
        <v>20</v>
      </c>
    </row>
    <row r="1230" spans="1:5" x14ac:dyDescent="0.3">
      <c r="A1230" t="s">
        <v>4</v>
      </c>
      <c r="B1230" s="1" t="s">
        <v>13</v>
      </c>
      <c r="C1230" t="s">
        <v>11</v>
      </c>
      <c r="D1230" t="s">
        <v>8</v>
      </c>
      <c r="E1230" t="s">
        <v>20</v>
      </c>
    </row>
    <row r="1231" spans="1:5" x14ac:dyDescent="0.3">
      <c r="A1231" t="s">
        <v>4</v>
      </c>
      <c r="B1231" s="1" t="s">
        <v>13</v>
      </c>
      <c r="C1231" t="s">
        <v>11</v>
      </c>
      <c r="D1231" t="s">
        <v>9</v>
      </c>
      <c r="E1231" t="s">
        <v>20</v>
      </c>
    </row>
    <row r="1232" spans="1:5" x14ac:dyDescent="0.3">
      <c r="A1232" t="s">
        <v>4</v>
      </c>
      <c r="B1232" s="1" t="s">
        <v>13</v>
      </c>
      <c r="C1232" t="s">
        <v>12</v>
      </c>
      <c r="D1232" t="s">
        <v>5</v>
      </c>
      <c r="E1232" t="s">
        <v>20</v>
      </c>
    </row>
    <row r="1233" spans="1:5" x14ac:dyDescent="0.3">
      <c r="A1233" t="s">
        <v>4</v>
      </c>
      <c r="B1233" s="1" t="s">
        <v>13</v>
      </c>
      <c r="C1233" t="s">
        <v>12</v>
      </c>
      <c r="D1233" t="s">
        <v>6</v>
      </c>
      <c r="E1233" t="s">
        <v>20</v>
      </c>
    </row>
    <row r="1234" spans="1:5" x14ac:dyDescent="0.3">
      <c r="A1234" t="s">
        <v>4</v>
      </c>
      <c r="B1234" s="1" t="s">
        <v>13</v>
      </c>
      <c r="C1234" t="s">
        <v>11</v>
      </c>
      <c r="D1234" t="s">
        <v>7</v>
      </c>
      <c r="E1234" t="s">
        <v>20</v>
      </c>
    </row>
    <row r="1235" spans="1:5" x14ac:dyDescent="0.3">
      <c r="A1235" t="s">
        <v>4</v>
      </c>
      <c r="B1235" s="1" t="s">
        <v>13</v>
      </c>
      <c r="C1235" t="s">
        <v>11</v>
      </c>
      <c r="D1235" t="s">
        <v>8</v>
      </c>
      <c r="E1235" t="s">
        <v>20</v>
      </c>
    </row>
    <row r="1236" spans="1:5" x14ac:dyDescent="0.3">
      <c r="A1236" t="s">
        <v>4</v>
      </c>
      <c r="B1236" s="1" t="s">
        <v>13</v>
      </c>
      <c r="C1236" t="s">
        <v>11</v>
      </c>
      <c r="D1236" t="s">
        <v>9</v>
      </c>
      <c r="E1236" t="s">
        <v>20</v>
      </c>
    </row>
    <row r="1237" spans="1:5" x14ac:dyDescent="0.3">
      <c r="A1237" t="s">
        <v>4</v>
      </c>
      <c r="B1237" s="1" t="s">
        <v>13</v>
      </c>
      <c r="C1237" t="s">
        <v>12</v>
      </c>
      <c r="D1237" t="s">
        <v>5</v>
      </c>
      <c r="E1237" t="s">
        <v>20</v>
      </c>
    </row>
    <row r="1238" spans="1:5" x14ac:dyDescent="0.3">
      <c r="A1238" t="s">
        <v>4</v>
      </c>
      <c r="B1238" s="1" t="s">
        <v>13</v>
      </c>
      <c r="C1238" t="s">
        <v>12</v>
      </c>
      <c r="D1238" t="s">
        <v>6</v>
      </c>
      <c r="E1238" t="s">
        <v>20</v>
      </c>
    </row>
    <row r="1239" spans="1:5" x14ac:dyDescent="0.3">
      <c r="A1239" t="s">
        <v>4</v>
      </c>
      <c r="B1239" s="1" t="s">
        <v>13</v>
      </c>
      <c r="C1239" t="s">
        <v>11</v>
      </c>
      <c r="D1239" t="s">
        <v>7</v>
      </c>
      <c r="E1239" t="s">
        <v>20</v>
      </c>
    </row>
    <row r="1240" spans="1:5" x14ac:dyDescent="0.3">
      <c r="A1240" t="s">
        <v>4</v>
      </c>
      <c r="B1240" s="1" t="s">
        <v>13</v>
      </c>
      <c r="C1240" t="s">
        <v>11</v>
      </c>
      <c r="D1240" t="s">
        <v>8</v>
      </c>
      <c r="E1240" t="s">
        <v>20</v>
      </c>
    </row>
    <row r="1241" spans="1:5" x14ac:dyDescent="0.3">
      <c r="A1241" t="s">
        <v>4</v>
      </c>
      <c r="B1241" s="1" t="s">
        <v>13</v>
      </c>
      <c r="C1241" t="s">
        <v>11</v>
      </c>
      <c r="D1241" t="s">
        <v>9</v>
      </c>
      <c r="E1241" t="s">
        <v>20</v>
      </c>
    </row>
    <row r="1242" spans="1:5" x14ac:dyDescent="0.3">
      <c r="A1242" t="s">
        <v>4</v>
      </c>
      <c r="B1242" s="1" t="s">
        <v>13</v>
      </c>
      <c r="C1242" t="s">
        <v>12</v>
      </c>
      <c r="D1242" t="s">
        <v>5</v>
      </c>
      <c r="E1242" t="s">
        <v>20</v>
      </c>
    </row>
    <row r="1243" spans="1:5" x14ac:dyDescent="0.3">
      <c r="A1243" t="s">
        <v>4</v>
      </c>
      <c r="B1243" s="1" t="s">
        <v>13</v>
      </c>
      <c r="C1243" t="s">
        <v>12</v>
      </c>
      <c r="D1243" t="s">
        <v>6</v>
      </c>
      <c r="E1243" t="s">
        <v>20</v>
      </c>
    </row>
    <row r="1244" spans="1:5" x14ac:dyDescent="0.3">
      <c r="A1244" t="s">
        <v>4</v>
      </c>
      <c r="B1244" s="1" t="s">
        <v>13</v>
      </c>
      <c r="C1244" t="s">
        <v>11</v>
      </c>
      <c r="D1244" t="s">
        <v>7</v>
      </c>
      <c r="E1244" t="s">
        <v>20</v>
      </c>
    </row>
    <row r="1245" spans="1:5" x14ac:dyDescent="0.3">
      <c r="A1245" t="s">
        <v>4</v>
      </c>
      <c r="B1245" s="1" t="s">
        <v>13</v>
      </c>
      <c r="C1245" t="s">
        <v>11</v>
      </c>
      <c r="D1245" t="s">
        <v>8</v>
      </c>
      <c r="E1245" t="s">
        <v>20</v>
      </c>
    </row>
    <row r="1246" spans="1:5" x14ac:dyDescent="0.3">
      <c r="A1246" t="s">
        <v>4</v>
      </c>
      <c r="B1246" s="1" t="s">
        <v>13</v>
      </c>
      <c r="C1246" t="s">
        <v>11</v>
      </c>
      <c r="D1246" t="s">
        <v>9</v>
      </c>
      <c r="E1246" t="s">
        <v>20</v>
      </c>
    </row>
    <row r="1247" spans="1:5" x14ac:dyDescent="0.3">
      <c r="A1247" t="s">
        <v>4</v>
      </c>
      <c r="B1247" s="1" t="s">
        <v>13</v>
      </c>
      <c r="C1247" t="s">
        <v>12</v>
      </c>
      <c r="D1247" t="s">
        <v>5</v>
      </c>
      <c r="E1247" t="s">
        <v>20</v>
      </c>
    </row>
    <row r="1248" spans="1:5" x14ac:dyDescent="0.3">
      <c r="A1248" t="s">
        <v>4</v>
      </c>
      <c r="B1248" s="1" t="s">
        <v>13</v>
      </c>
      <c r="C1248" t="s">
        <v>12</v>
      </c>
      <c r="D1248" t="s">
        <v>6</v>
      </c>
      <c r="E1248" t="s">
        <v>20</v>
      </c>
    </row>
    <row r="1249" spans="1:5" x14ac:dyDescent="0.3">
      <c r="A1249" t="s">
        <v>4</v>
      </c>
      <c r="B1249" s="1" t="s">
        <v>13</v>
      </c>
      <c r="C1249" t="s">
        <v>11</v>
      </c>
      <c r="D1249" t="s">
        <v>7</v>
      </c>
      <c r="E1249" t="s">
        <v>20</v>
      </c>
    </row>
    <row r="1250" spans="1:5" x14ac:dyDescent="0.3">
      <c r="A1250" t="s">
        <v>4</v>
      </c>
      <c r="B1250" s="1" t="s">
        <v>13</v>
      </c>
      <c r="C1250" t="s">
        <v>10</v>
      </c>
      <c r="D1250" t="s">
        <v>8</v>
      </c>
      <c r="E1250" t="s">
        <v>20</v>
      </c>
    </row>
    <row r="1251" spans="1:5" x14ac:dyDescent="0.3">
      <c r="A1251" t="s">
        <v>4</v>
      </c>
      <c r="B1251" s="1" t="s">
        <v>13</v>
      </c>
      <c r="C1251" t="s">
        <v>11</v>
      </c>
      <c r="D1251" t="s">
        <v>9</v>
      </c>
      <c r="E1251" t="s">
        <v>20</v>
      </c>
    </row>
    <row r="1252" spans="1:5" x14ac:dyDescent="0.3">
      <c r="A1252" t="s">
        <v>4</v>
      </c>
      <c r="B1252" s="1" t="s">
        <v>13</v>
      </c>
      <c r="C1252" t="s">
        <v>12</v>
      </c>
      <c r="D1252" t="s">
        <v>5</v>
      </c>
      <c r="E1252" t="s">
        <v>20</v>
      </c>
    </row>
    <row r="1253" spans="1:5" x14ac:dyDescent="0.3">
      <c r="A1253" t="s">
        <v>4</v>
      </c>
      <c r="B1253" s="1" t="s">
        <v>13</v>
      </c>
      <c r="C1253" t="s">
        <v>12</v>
      </c>
      <c r="D1253" t="s">
        <v>6</v>
      </c>
      <c r="E1253" t="s">
        <v>20</v>
      </c>
    </row>
    <row r="1254" spans="1:5" x14ac:dyDescent="0.3">
      <c r="A1254" t="s">
        <v>4</v>
      </c>
      <c r="B1254" s="1" t="s">
        <v>13</v>
      </c>
      <c r="C1254" t="s">
        <v>11</v>
      </c>
      <c r="D1254" t="s">
        <v>7</v>
      </c>
      <c r="E1254" t="s">
        <v>20</v>
      </c>
    </row>
    <row r="1255" spans="1:5" x14ac:dyDescent="0.3">
      <c r="A1255" t="s">
        <v>4</v>
      </c>
      <c r="B1255" s="1" t="s">
        <v>13</v>
      </c>
      <c r="C1255" t="s">
        <v>11</v>
      </c>
      <c r="D1255" t="s">
        <v>8</v>
      </c>
      <c r="E1255" t="s">
        <v>20</v>
      </c>
    </row>
    <row r="1256" spans="1:5" x14ac:dyDescent="0.3">
      <c r="A1256" t="s">
        <v>4</v>
      </c>
      <c r="B1256" s="1" t="s">
        <v>13</v>
      </c>
      <c r="C1256" t="s">
        <v>11</v>
      </c>
      <c r="D1256" t="s">
        <v>9</v>
      </c>
      <c r="E1256" t="s">
        <v>20</v>
      </c>
    </row>
    <row r="1257" spans="1:5" x14ac:dyDescent="0.3">
      <c r="A1257" t="s">
        <v>4</v>
      </c>
      <c r="B1257" s="1" t="s">
        <v>13</v>
      </c>
      <c r="C1257" t="s">
        <v>12</v>
      </c>
      <c r="D1257" t="s">
        <v>5</v>
      </c>
      <c r="E1257" t="s">
        <v>20</v>
      </c>
    </row>
    <row r="1258" spans="1:5" x14ac:dyDescent="0.3">
      <c r="A1258" t="s">
        <v>4</v>
      </c>
      <c r="B1258" s="1" t="s">
        <v>13</v>
      </c>
      <c r="C1258" t="s">
        <v>12</v>
      </c>
      <c r="D1258" t="s">
        <v>6</v>
      </c>
      <c r="E1258" t="s">
        <v>20</v>
      </c>
    </row>
    <row r="1259" spans="1:5" x14ac:dyDescent="0.3">
      <c r="A1259" t="s">
        <v>4</v>
      </c>
      <c r="B1259" s="1" t="s">
        <v>13</v>
      </c>
      <c r="C1259" t="s">
        <v>11</v>
      </c>
      <c r="D1259" t="s">
        <v>7</v>
      </c>
      <c r="E1259" t="s">
        <v>20</v>
      </c>
    </row>
    <row r="1260" spans="1:5" x14ac:dyDescent="0.3">
      <c r="A1260" t="s">
        <v>4</v>
      </c>
      <c r="B1260" s="1" t="s">
        <v>13</v>
      </c>
      <c r="C1260" t="s">
        <v>11</v>
      </c>
      <c r="D1260" t="s">
        <v>8</v>
      </c>
      <c r="E1260" t="s">
        <v>20</v>
      </c>
    </row>
    <row r="1261" spans="1:5" x14ac:dyDescent="0.3">
      <c r="A1261" t="s">
        <v>4</v>
      </c>
      <c r="B1261" s="1" t="s">
        <v>13</v>
      </c>
      <c r="C1261" t="s">
        <v>12</v>
      </c>
      <c r="D1261" t="s">
        <v>9</v>
      </c>
      <c r="E1261" t="s">
        <v>20</v>
      </c>
    </row>
    <row r="1262" spans="1:5" x14ac:dyDescent="0.3">
      <c r="A1262" t="s">
        <v>4</v>
      </c>
      <c r="B1262" s="1" t="s">
        <v>13</v>
      </c>
      <c r="C1262" t="s">
        <v>12</v>
      </c>
      <c r="D1262" t="s">
        <v>5</v>
      </c>
      <c r="E1262" t="s">
        <v>20</v>
      </c>
    </row>
    <row r="1263" spans="1:5" x14ac:dyDescent="0.3">
      <c r="A1263" t="s">
        <v>4</v>
      </c>
      <c r="B1263" s="1" t="s">
        <v>13</v>
      </c>
      <c r="C1263" t="s">
        <v>12</v>
      </c>
      <c r="D1263" t="s">
        <v>6</v>
      </c>
      <c r="E1263" t="s">
        <v>20</v>
      </c>
    </row>
    <row r="1264" spans="1:5" x14ac:dyDescent="0.3">
      <c r="A1264" t="s">
        <v>4</v>
      </c>
      <c r="B1264" s="1" t="s">
        <v>13</v>
      </c>
      <c r="C1264" t="s">
        <v>11</v>
      </c>
      <c r="D1264" t="s">
        <v>7</v>
      </c>
      <c r="E1264" t="s">
        <v>20</v>
      </c>
    </row>
    <row r="1265" spans="1:5" x14ac:dyDescent="0.3">
      <c r="A1265" t="s">
        <v>4</v>
      </c>
      <c r="B1265" s="1" t="s">
        <v>13</v>
      </c>
      <c r="C1265" t="s">
        <v>11</v>
      </c>
      <c r="D1265" t="s">
        <v>8</v>
      </c>
      <c r="E1265" t="s">
        <v>20</v>
      </c>
    </row>
    <row r="1266" spans="1:5" x14ac:dyDescent="0.3">
      <c r="A1266" t="s">
        <v>4</v>
      </c>
      <c r="B1266" s="1" t="s">
        <v>13</v>
      </c>
      <c r="C1266" t="s">
        <v>11</v>
      </c>
      <c r="D1266" t="s">
        <v>9</v>
      </c>
      <c r="E1266" t="s">
        <v>20</v>
      </c>
    </row>
    <row r="1267" spans="1:5" x14ac:dyDescent="0.3">
      <c r="A1267" t="s">
        <v>4</v>
      </c>
      <c r="B1267" s="1" t="s">
        <v>13</v>
      </c>
      <c r="C1267" t="s">
        <v>12</v>
      </c>
      <c r="D1267" t="s">
        <v>5</v>
      </c>
      <c r="E1267" t="s">
        <v>20</v>
      </c>
    </row>
    <row r="1268" spans="1:5" x14ac:dyDescent="0.3">
      <c r="A1268" t="s">
        <v>4</v>
      </c>
      <c r="B1268" s="1" t="s">
        <v>13</v>
      </c>
      <c r="C1268" t="s">
        <v>12</v>
      </c>
      <c r="D1268" t="s">
        <v>6</v>
      </c>
      <c r="E1268" t="s">
        <v>20</v>
      </c>
    </row>
    <row r="1269" spans="1:5" x14ac:dyDescent="0.3">
      <c r="A1269" t="s">
        <v>4</v>
      </c>
      <c r="B1269" s="1" t="s">
        <v>13</v>
      </c>
      <c r="C1269" t="s">
        <v>11</v>
      </c>
      <c r="D1269" t="s">
        <v>7</v>
      </c>
      <c r="E1269" t="s">
        <v>20</v>
      </c>
    </row>
    <row r="1270" spans="1:5" x14ac:dyDescent="0.3">
      <c r="A1270" t="s">
        <v>4</v>
      </c>
      <c r="B1270" s="1" t="s">
        <v>13</v>
      </c>
      <c r="C1270" t="s">
        <v>10</v>
      </c>
      <c r="D1270" t="s">
        <v>8</v>
      </c>
      <c r="E1270" t="s">
        <v>20</v>
      </c>
    </row>
    <row r="1271" spans="1:5" x14ac:dyDescent="0.3">
      <c r="A1271" t="s">
        <v>4</v>
      </c>
      <c r="B1271" s="1" t="s">
        <v>13</v>
      </c>
      <c r="C1271" t="s">
        <v>11</v>
      </c>
      <c r="D1271" t="s">
        <v>9</v>
      </c>
      <c r="E1271" t="s">
        <v>20</v>
      </c>
    </row>
    <row r="1272" spans="1:5" x14ac:dyDescent="0.3">
      <c r="A1272" t="s">
        <v>4</v>
      </c>
      <c r="B1272" s="1" t="s">
        <v>13</v>
      </c>
      <c r="C1272" t="s">
        <v>12</v>
      </c>
      <c r="D1272" t="s">
        <v>5</v>
      </c>
      <c r="E1272" t="s">
        <v>20</v>
      </c>
    </row>
    <row r="1273" spans="1:5" x14ac:dyDescent="0.3">
      <c r="A1273" t="s">
        <v>4</v>
      </c>
      <c r="B1273" s="1" t="s">
        <v>13</v>
      </c>
      <c r="C1273" t="s">
        <v>12</v>
      </c>
      <c r="D1273" t="s">
        <v>6</v>
      </c>
      <c r="E1273" t="s">
        <v>20</v>
      </c>
    </row>
    <row r="1274" spans="1:5" x14ac:dyDescent="0.3">
      <c r="A1274" t="s">
        <v>4</v>
      </c>
      <c r="B1274" s="1" t="s">
        <v>13</v>
      </c>
      <c r="C1274" t="s">
        <v>11</v>
      </c>
      <c r="D1274" t="s">
        <v>7</v>
      </c>
      <c r="E1274" t="s">
        <v>20</v>
      </c>
    </row>
    <row r="1275" spans="1:5" x14ac:dyDescent="0.3">
      <c r="A1275" t="s">
        <v>4</v>
      </c>
      <c r="B1275" s="1" t="s">
        <v>13</v>
      </c>
      <c r="C1275" t="s">
        <v>11</v>
      </c>
      <c r="D1275" t="s">
        <v>8</v>
      </c>
      <c r="E1275" t="s">
        <v>20</v>
      </c>
    </row>
    <row r="1276" spans="1:5" x14ac:dyDescent="0.3">
      <c r="A1276" t="s">
        <v>4</v>
      </c>
      <c r="B1276" s="1" t="s">
        <v>13</v>
      </c>
      <c r="C1276" t="s">
        <v>11</v>
      </c>
      <c r="D1276" t="s">
        <v>9</v>
      </c>
      <c r="E1276" t="s">
        <v>20</v>
      </c>
    </row>
    <row r="1277" spans="1:5" x14ac:dyDescent="0.3">
      <c r="A1277" t="s">
        <v>4</v>
      </c>
      <c r="B1277" s="1" t="s">
        <v>13</v>
      </c>
      <c r="C1277" t="s">
        <v>12</v>
      </c>
      <c r="D1277" t="s">
        <v>5</v>
      </c>
      <c r="E1277" t="s">
        <v>20</v>
      </c>
    </row>
    <row r="1278" spans="1:5" x14ac:dyDescent="0.3">
      <c r="A1278" t="s">
        <v>4</v>
      </c>
      <c r="B1278" s="1" t="s">
        <v>13</v>
      </c>
      <c r="C1278" t="s">
        <v>12</v>
      </c>
      <c r="D1278" t="s">
        <v>6</v>
      </c>
      <c r="E1278" t="s">
        <v>20</v>
      </c>
    </row>
    <row r="1279" spans="1:5" x14ac:dyDescent="0.3">
      <c r="A1279" t="s">
        <v>4</v>
      </c>
      <c r="B1279" s="1" t="s">
        <v>13</v>
      </c>
      <c r="C1279" t="s">
        <v>11</v>
      </c>
      <c r="D1279" t="s">
        <v>7</v>
      </c>
      <c r="E1279" t="s">
        <v>20</v>
      </c>
    </row>
    <row r="1280" spans="1:5" x14ac:dyDescent="0.3">
      <c r="A1280" t="s">
        <v>4</v>
      </c>
      <c r="B1280" s="1" t="s">
        <v>13</v>
      </c>
      <c r="C1280" t="s">
        <v>12</v>
      </c>
      <c r="D1280" t="s">
        <v>8</v>
      </c>
      <c r="E1280" t="s">
        <v>20</v>
      </c>
    </row>
    <row r="1281" spans="1:5" x14ac:dyDescent="0.3">
      <c r="A1281" t="s">
        <v>4</v>
      </c>
      <c r="B1281" s="1" t="s">
        <v>13</v>
      </c>
      <c r="C1281" t="s">
        <v>12</v>
      </c>
      <c r="D1281" t="s">
        <v>9</v>
      </c>
      <c r="E1281" t="s">
        <v>20</v>
      </c>
    </row>
    <row r="1282" spans="1:5" x14ac:dyDescent="0.3">
      <c r="A1282" t="s">
        <v>4</v>
      </c>
      <c r="B1282" s="1" t="s">
        <v>13</v>
      </c>
      <c r="C1282" t="s">
        <v>12</v>
      </c>
      <c r="D1282" t="s">
        <v>5</v>
      </c>
      <c r="E1282" t="s">
        <v>20</v>
      </c>
    </row>
    <row r="1283" spans="1:5" x14ac:dyDescent="0.3">
      <c r="A1283" t="s">
        <v>4</v>
      </c>
      <c r="B1283" s="1" t="s">
        <v>13</v>
      </c>
      <c r="C1283" t="s">
        <v>12</v>
      </c>
      <c r="D1283" t="s">
        <v>6</v>
      </c>
      <c r="E1283" t="s">
        <v>20</v>
      </c>
    </row>
    <row r="1284" spans="1:5" x14ac:dyDescent="0.3">
      <c r="A1284" t="s">
        <v>4</v>
      </c>
      <c r="B1284" s="1" t="s">
        <v>13</v>
      </c>
      <c r="C1284" t="s">
        <v>11</v>
      </c>
      <c r="D1284" t="s">
        <v>7</v>
      </c>
      <c r="E1284" t="s">
        <v>20</v>
      </c>
    </row>
    <row r="1285" spans="1:5" x14ac:dyDescent="0.3">
      <c r="A1285" t="s">
        <v>4</v>
      </c>
      <c r="B1285" s="1" t="s">
        <v>13</v>
      </c>
      <c r="C1285" t="s">
        <v>12</v>
      </c>
      <c r="D1285" t="s">
        <v>8</v>
      </c>
      <c r="E1285" t="s">
        <v>20</v>
      </c>
    </row>
    <row r="1286" spans="1:5" x14ac:dyDescent="0.3">
      <c r="A1286" t="s">
        <v>4</v>
      </c>
      <c r="B1286" s="1" t="s">
        <v>13</v>
      </c>
      <c r="C1286" t="s">
        <v>12</v>
      </c>
      <c r="D1286" t="s">
        <v>9</v>
      </c>
      <c r="E1286" t="s">
        <v>20</v>
      </c>
    </row>
    <row r="1287" spans="1:5" x14ac:dyDescent="0.3">
      <c r="A1287" t="s">
        <v>4</v>
      </c>
      <c r="B1287" s="1" t="s">
        <v>13</v>
      </c>
      <c r="C1287" t="s">
        <v>12</v>
      </c>
      <c r="D1287" t="s">
        <v>5</v>
      </c>
      <c r="E1287" t="s">
        <v>20</v>
      </c>
    </row>
    <row r="1288" spans="1:5" x14ac:dyDescent="0.3">
      <c r="A1288" t="s">
        <v>4</v>
      </c>
      <c r="B1288" s="1" t="s">
        <v>13</v>
      </c>
      <c r="C1288" t="s">
        <v>12</v>
      </c>
      <c r="D1288" t="s">
        <v>6</v>
      </c>
      <c r="E1288" t="s">
        <v>20</v>
      </c>
    </row>
    <row r="1289" spans="1:5" x14ac:dyDescent="0.3">
      <c r="A1289" t="s">
        <v>4</v>
      </c>
      <c r="B1289" s="1" t="s">
        <v>13</v>
      </c>
      <c r="C1289" t="s">
        <v>11</v>
      </c>
      <c r="D1289" t="s">
        <v>7</v>
      </c>
      <c r="E1289" t="s">
        <v>20</v>
      </c>
    </row>
    <row r="1290" spans="1:5" x14ac:dyDescent="0.3">
      <c r="A1290" t="s">
        <v>4</v>
      </c>
      <c r="B1290" s="1" t="s">
        <v>13</v>
      </c>
      <c r="C1290" t="s">
        <v>12</v>
      </c>
      <c r="D1290" t="s">
        <v>8</v>
      </c>
      <c r="E1290" t="s">
        <v>20</v>
      </c>
    </row>
    <row r="1291" spans="1:5" x14ac:dyDescent="0.3">
      <c r="A1291" t="s">
        <v>4</v>
      </c>
      <c r="B1291" s="1" t="s">
        <v>13</v>
      </c>
      <c r="C1291" t="s">
        <v>12</v>
      </c>
      <c r="D1291" t="s">
        <v>9</v>
      </c>
      <c r="E1291" t="s">
        <v>20</v>
      </c>
    </row>
    <row r="1292" spans="1:5" x14ac:dyDescent="0.3">
      <c r="A1292" t="s">
        <v>4</v>
      </c>
      <c r="B1292" s="1" t="s">
        <v>13</v>
      </c>
      <c r="C1292" t="s">
        <v>12</v>
      </c>
      <c r="D1292" t="s">
        <v>5</v>
      </c>
      <c r="E1292" t="s">
        <v>20</v>
      </c>
    </row>
    <row r="1293" spans="1:5" x14ac:dyDescent="0.3">
      <c r="A1293" t="s">
        <v>4</v>
      </c>
      <c r="B1293" s="1" t="s">
        <v>13</v>
      </c>
      <c r="C1293" t="s">
        <v>12</v>
      </c>
      <c r="D1293" t="s">
        <v>6</v>
      </c>
      <c r="E1293" t="s">
        <v>20</v>
      </c>
    </row>
    <row r="1294" spans="1:5" x14ac:dyDescent="0.3">
      <c r="A1294" t="s">
        <v>4</v>
      </c>
      <c r="B1294" s="1" t="s">
        <v>13</v>
      </c>
      <c r="C1294" t="s">
        <v>11</v>
      </c>
      <c r="D1294" t="s">
        <v>7</v>
      </c>
      <c r="E1294" t="s">
        <v>20</v>
      </c>
    </row>
    <row r="1295" spans="1:5" x14ac:dyDescent="0.3">
      <c r="A1295" t="s">
        <v>4</v>
      </c>
      <c r="B1295" s="1" t="s">
        <v>13</v>
      </c>
      <c r="C1295" t="s">
        <v>12</v>
      </c>
      <c r="D1295" t="s">
        <v>8</v>
      </c>
      <c r="E1295" t="s">
        <v>20</v>
      </c>
    </row>
    <row r="1296" spans="1:5" x14ac:dyDescent="0.3">
      <c r="A1296" t="s">
        <v>4</v>
      </c>
      <c r="B1296" s="1" t="s">
        <v>13</v>
      </c>
      <c r="C1296" t="s">
        <v>12</v>
      </c>
      <c r="D1296" t="s">
        <v>9</v>
      </c>
      <c r="E1296" t="s">
        <v>20</v>
      </c>
    </row>
    <row r="1297" spans="1:5" x14ac:dyDescent="0.3">
      <c r="A1297" t="s">
        <v>4</v>
      </c>
      <c r="B1297" s="1" t="s">
        <v>13</v>
      </c>
      <c r="C1297" t="s">
        <v>12</v>
      </c>
      <c r="D1297" t="s">
        <v>5</v>
      </c>
      <c r="E1297" t="s">
        <v>20</v>
      </c>
    </row>
    <row r="1298" spans="1:5" x14ac:dyDescent="0.3">
      <c r="A1298" t="s">
        <v>4</v>
      </c>
      <c r="B1298" s="1" t="s">
        <v>13</v>
      </c>
      <c r="C1298" t="s">
        <v>12</v>
      </c>
      <c r="D1298" t="s">
        <v>6</v>
      </c>
      <c r="E1298" t="s">
        <v>20</v>
      </c>
    </row>
    <row r="1299" spans="1:5" x14ac:dyDescent="0.3">
      <c r="A1299" t="s">
        <v>4</v>
      </c>
      <c r="B1299" s="1" t="s">
        <v>13</v>
      </c>
      <c r="C1299" t="s">
        <v>11</v>
      </c>
      <c r="D1299" t="s">
        <v>7</v>
      </c>
      <c r="E1299" t="s">
        <v>20</v>
      </c>
    </row>
    <row r="1300" spans="1:5" x14ac:dyDescent="0.3">
      <c r="A1300" t="s">
        <v>4</v>
      </c>
      <c r="B1300" s="1" t="s">
        <v>13</v>
      </c>
      <c r="C1300" t="s">
        <v>12</v>
      </c>
      <c r="D1300" t="s">
        <v>8</v>
      </c>
      <c r="E1300" t="s">
        <v>20</v>
      </c>
    </row>
    <row r="1301" spans="1:5" x14ac:dyDescent="0.3">
      <c r="A1301" t="s">
        <v>4</v>
      </c>
      <c r="B1301" s="1" t="s">
        <v>13</v>
      </c>
      <c r="C1301" t="s">
        <v>12</v>
      </c>
      <c r="D1301" t="s">
        <v>9</v>
      </c>
      <c r="E1301" t="s">
        <v>20</v>
      </c>
    </row>
    <row r="1302" spans="1:5" x14ac:dyDescent="0.3">
      <c r="A1302" t="s">
        <v>4</v>
      </c>
      <c r="B1302" s="1" t="s">
        <v>13</v>
      </c>
      <c r="C1302" t="s">
        <v>12</v>
      </c>
      <c r="D1302" t="s">
        <v>5</v>
      </c>
      <c r="E1302" t="s">
        <v>20</v>
      </c>
    </row>
    <row r="1303" spans="1:5" x14ac:dyDescent="0.3">
      <c r="A1303" t="s">
        <v>4</v>
      </c>
      <c r="B1303" s="1" t="s">
        <v>13</v>
      </c>
      <c r="C1303" t="s">
        <v>12</v>
      </c>
      <c r="D1303" t="s">
        <v>6</v>
      </c>
      <c r="E1303" t="s">
        <v>20</v>
      </c>
    </row>
    <row r="1304" spans="1:5" x14ac:dyDescent="0.3">
      <c r="A1304" t="s">
        <v>4</v>
      </c>
      <c r="B1304" s="1" t="s">
        <v>13</v>
      </c>
      <c r="C1304" t="s">
        <v>11</v>
      </c>
      <c r="D1304" t="s">
        <v>7</v>
      </c>
      <c r="E1304" t="s">
        <v>20</v>
      </c>
    </row>
    <row r="1305" spans="1:5" x14ac:dyDescent="0.3">
      <c r="A1305" t="s">
        <v>4</v>
      </c>
      <c r="B1305" s="1" t="s">
        <v>13</v>
      </c>
      <c r="C1305" t="s">
        <v>12</v>
      </c>
      <c r="D1305" t="s">
        <v>8</v>
      </c>
      <c r="E1305" t="s">
        <v>20</v>
      </c>
    </row>
    <row r="1306" spans="1:5" x14ac:dyDescent="0.3">
      <c r="A1306" t="s">
        <v>4</v>
      </c>
      <c r="B1306" s="1" t="s">
        <v>13</v>
      </c>
      <c r="C1306" t="s">
        <v>12</v>
      </c>
      <c r="D1306" t="s">
        <v>9</v>
      </c>
      <c r="E1306" t="s">
        <v>20</v>
      </c>
    </row>
    <row r="1307" spans="1:5" x14ac:dyDescent="0.3">
      <c r="A1307" t="s">
        <v>4</v>
      </c>
      <c r="B1307" s="1" t="s">
        <v>13</v>
      </c>
      <c r="C1307" t="s">
        <v>12</v>
      </c>
      <c r="D1307" t="s">
        <v>5</v>
      </c>
      <c r="E1307" t="s">
        <v>20</v>
      </c>
    </row>
    <row r="1308" spans="1:5" x14ac:dyDescent="0.3">
      <c r="A1308" t="s">
        <v>4</v>
      </c>
      <c r="B1308" s="1" t="s">
        <v>13</v>
      </c>
      <c r="C1308" t="s">
        <v>12</v>
      </c>
      <c r="D1308" t="s">
        <v>6</v>
      </c>
      <c r="E1308" t="s">
        <v>20</v>
      </c>
    </row>
    <row r="1309" spans="1:5" x14ac:dyDescent="0.3">
      <c r="A1309" t="s">
        <v>4</v>
      </c>
      <c r="B1309" s="1" t="s">
        <v>13</v>
      </c>
      <c r="C1309" t="s">
        <v>11</v>
      </c>
      <c r="D1309" t="s">
        <v>7</v>
      </c>
      <c r="E1309" t="s">
        <v>20</v>
      </c>
    </row>
    <row r="1310" spans="1:5" x14ac:dyDescent="0.3">
      <c r="A1310" t="s">
        <v>4</v>
      </c>
      <c r="B1310" s="1" t="s">
        <v>13</v>
      </c>
      <c r="C1310" t="s">
        <v>10</v>
      </c>
      <c r="D1310" t="s">
        <v>8</v>
      </c>
      <c r="E1310" t="s">
        <v>20</v>
      </c>
    </row>
    <row r="1311" spans="1:5" x14ac:dyDescent="0.3">
      <c r="A1311" t="s">
        <v>4</v>
      </c>
      <c r="B1311" s="1" t="s">
        <v>13</v>
      </c>
      <c r="C1311" t="s">
        <v>12</v>
      </c>
      <c r="D1311" t="s">
        <v>9</v>
      </c>
      <c r="E1311" t="s">
        <v>20</v>
      </c>
    </row>
    <row r="1312" spans="1:5" x14ac:dyDescent="0.3">
      <c r="A1312" t="s">
        <v>4</v>
      </c>
      <c r="B1312" s="1" t="s">
        <v>13</v>
      </c>
      <c r="C1312" t="s">
        <v>12</v>
      </c>
      <c r="D1312" t="s">
        <v>5</v>
      </c>
      <c r="E1312" t="s">
        <v>20</v>
      </c>
    </row>
    <row r="1313" spans="1:5" x14ac:dyDescent="0.3">
      <c r="A1313" t="s">
        <v>4</v>
      </c>
      <c r="B1313" s="1" t="s">
        <v>13</v>
      </c>
      <c r="C1313" t="s">
        <v>12</v>
      </c>
      <c r="D1313" t="s">
        <v>6</v>
      </c>
      <c r="E1313" t="s">
        <v>20</v>
      </c>
    </row>
    <row r="1314" spans="1:5" x14ac:dyDescent="0.3">
      <c r="A1314" t="s">
        <v>4</v>
      </c>
      <c r="B1314" s="1" t="s">
        <v>13</v>
      </c>
      <c r="C1314" t="s">
        <v>11</v>
      </c>
      <c r="D1314" t="s">
        <v>7</v>
      </c>
      <c r="E1314" t="s">
        <v>20</v>
      </c>
    </row>
    <row r="1315" spans="1:5" x14ac:dyDescent="0.3">
      <c r="A1315" t="s">
        <v>4</v>
      </c>
      <c r="B1315" s="1" t="s">
        <v>13</v>
      </c>
      <c r="C1315" t="s">
        <v>11</v>
      </c>
      <c r="D1315" t="s">
        <v>8</v>
      </c>
      <c r="E1315" t="s">
        <v>20</v>
      </c>
    </row>
    <row r="1316" spans="1:5" x14ac:dyDescent="0.3">
      <c r="A1316" t="s">
        <v>4</v>
      </c>
      <c r="B1316" s="1" t="s">
        <v>13</v>
      </c>
      <c r="C1316" t="s">
        <v>11</v>
      </c>
      <c r="D1316" t="s">
        <v>9</v>
      </c>
      <c r="E1316" t="s">
        <v>20</v>
      </c>
    </row>
    <row r="1317" spans="1:5" x14ac:dyDescent="0.3">
      <c r="A1317" t="s">
        <v>4</v>
      </c>
      <c r="B1317" s="1" t="s">
        <v>13</v>
      </c>
      <c r="C1317" t="s">
        <v>12</v>
      </c>
      <c r="D1317" t="s">
        <v>5</v>
      </c>
      <c r="E1317" t="s">
        <v>21</v>
      </c>
    </row>
    <row r="1318" spans="1:5" x14ac:dyDescent="0.3">
      <c r="A1318" t="s">
        <v>4</v>
      </c>
      <c r="B1318" s="1" t="s">
        <v>13</v>
      </c>
      <c r="C1318" t="s">
        <v>12</v>
      </c>
      <c r="D1318" t="s">
        <v>6</v>
      </c>
      <c r="E1318" t="s">
        <v>21</v>
      </c>
    </row>
    <row r="1319" spans="1:5" x14ac:dyDescent="0.3">
      <c r="A1319" t="s">
        <v>4</v>
      </c>
      <c r="B1319" s="1" t="s">
        <v>13</v>
      </c>
      <c r="C1319" t="s">
        <v>10</v>
      </c>
      <c r="D1319" t="s">
        <v>7</v>
      </c>
      <c r="E1319" t="s">
        <v>21</v>
      </c>
    </row>
    <row r="1320" spans="1:5" x14ac:dyDescent="0.3">
      <c r="A1320" t="s">
        <v>4</v>
      </c>
      <c r="B1320" s="1" t="s">
        <v>13</v>
      </c>
      <c r="C1320" t="s">
        <v>12</v>
      </c>
      <c r="D1320" t="s">
        <v>8</v>
      </c>
      <c r="E1320" t="s">
        <v>21</v>
      </c>
    </row>
    <row r="1321" spans="1:5" x14ac:dyDescent="0.3">
      <c r="A1321" t="s">
        <v>4</v>
      </c>
      <c r="B1321" s="1" t="s">
        <v>13</v>
      </c>
      <c r="C1321" t="s">
        <v>12</v>
      </c>
      <c r="D1321" t="s">
        <v>9</v>
      </c>
      <c r="E1321" t="s">
        <v>21</v>
      </c>
    </row>
    <row r="1322" spans="1:5" x14ac:dyDescent="0.3">
      <c r="A1322" t="s">
        <v>4</v>
      </c>
      <c r="B1322" s="1" t="s">
        <v>13</v>
      </c>
      <c r="C1322" t="s">
        <v>12</v>
      </c>
      <c r="D1322" t="s">
        <v>5</v>
      </c>
      <c r="E1322" t="s">
        <v>21</v>
      </c>
    </row>
    <row r="1323" spans="1:5" x14ac:dyDescent="0.3">
      <c r="A1323" t="s">
        <v>4</v>
      </c>
      <c r="B1323" s="1" t="s">
        <v>13</v>
      </c>
      <c r="C1323" t="s">
        <v>12</v>
      </c>
      <c r="D1323" t="s">
        <v>6</v>
      </c>
      <c r="E1323" t="s">
        <v>21</v>
      </c>
    </row>
    <row r="1324" spans="1:5" x14ac:dyDescent="0.3">
      <c r="A1324" t="s">
        <v>4</v>
      </c>
      <c r="B1324" s="1" t="s">
        <v>13</v>
      </c>
      <c r="C1324" t="s">
        <v>10</v>
      </c>
      <c r="D1324" t="s">
        <v>7</v>
      </c>
      <c r="E1324" t="s">
        <v>21</v>
      </c>
    </row>
    <row r="1325" spans="1:5" x14ac:dyDescent="0.3">
      <c r="A1325" t="s">
        <v>4</v>
      </c>
      <c r="B1325" s="1" t="s">
        <v>13</v>
      </c>
      <c r="C1325" t="s">
        <v>12</v>
      </c>
      <c r="D1325" t="s">
        <v>8</v>
      </c>
      <c r="E1325" t="s">
        <v>21</v>
      </c>
    </row>
    <row r="1326" spans="1:5" x14ac:dyDescent="0.3">
      <c r="A1326" t="s">
        <v>4</v>
      </c>
      <c r="B1326" s="1" t="s">
        <v>13</v>
      </c>
      <c r="C1326" t="s">
        <v>12</v>
      </c>
      <c r="D1326" t="s">
        <v>9</v>
      </c>
      <c r="E1326" t="s">
        <v>21</v>
      </c>
    </row>
    <row r="1327" spans="1:5" x14ac:dyDescent="0.3">
      <c r="A1327" t="s">
        <v>4</v>
      </c>
      <c r="B1327" s="1" t="s">
        <v>13</v>
      </c>
      <c r="C1327" t="s">
        <v>12</v>
      </c>
      <c r="D1327" t="s">
        <v>5</v>
      </c>
      <c r="E1327" t="s">
        <v>21</v>
      </c>
    </row>
    <row r="1328" spans="1:5" x14ac:dyDescent="0.3">
      <c r="A1328" t="s">
        <v>4</v>
      </c>
      <c r="B1328" s="1" t="s">
        <v>13</v>
      </c>
      <c r="C1328" t="s">
        <v>12</v>
      </c>
      <c r="D1328" t="s">
        <v>6</v>
      </c>
      <c r="E1328" t="s">
        <v>21</v>
      </c>
    </row>
    <row r="1329" spans="1:5" x14ac:dyDescent="0.3">
      <c r="A1329" t="s">
        <v>4</v>
      </c>
      <c r="B1329" s="1" t="s">
        <v>13</v>
      </c>
      <c r="C1329" t="s">
        <v>10</v>
      </c>
      <c r="D1329" t="s">
        <v>7</v>
      </c>
      <c r="E1329" t="s">
        <v>21</v>
      </c>
    </row>
    <row r="1330" spans="1:5" x14ac:dyDescent="0.3">
      <c r="A1330" t="s">
        <v>4</v>
      </c>
      <c r="B1330" s="1" t="s">
        <v>13</v>
      </c>
      <c r="C1330" t="s">
        <v>12</v>
      </c>
      <c r="D1330" t="s">
        <v>8</v>
      </c>
      <c r="E1330" t="s">
        <v>21</v>
      </c>
    </row>
    <row r="1331" spans="1:5" x14ac:dyDescent="0.3">
      <c r="A1331" t="s">
        <v>4</v>
      </c>
      <c r="B1331" s="1" t="s">
        <v>13</v>
      </c>
      <c r="C1331" t="s">
        <v>11</v>
      </c>
      <c r="D1331" t="s">
        <v>9</v>
      </c>
      <c r="E1331" t="s">
        <v>21</v>
      </c>
    </row>
    <row r="1332" spans="1:5" x14ac:dyDescent="0.3">
      <c r="A1332" t="s">
        <v>4</v>
      </c>
      <c r="B1332" s="1" t="s">
        <v>13</v>
      </c>
      <c r="C1332" t="s">
        <v>11</v>
      </c>
      <c r="D1332" t="s">
        <v>5</v>
      </c>
      <c r="E1332" t="s">
        <v>21</v>
      </c>
    </row>
    <row r="1333" spans="1:5" x14ac:dyDescent="0.3">
      <c r="A1333" t="s">
        <v>4</v>
      </c>
      <c r="B1333" s="1" t="s">
        <v>13</v>
      </c>
      <c r="C1333" t="s">
        <v>12</v>
      </c>
      <c r="D1333" t="s">
        <v>6</v>
      </c>
      <c r="E1333" t="s">
        <v>21</v>
      </c>
    </row>
    <row r="1334" spans="1:5" x14ac:dyDescent="0.3">
      <c r="A1334" t="s">
        <v>4</v>
      </c>
      <c r="B1334" s="1" t="s">
        <v>13</v>
      </c>
      <c r="C1334" t="s">
        <v>10</v>
      </c>
      <c r="D1334" t="s">
        <v>7</v>
      </c>
      <c r="E1334" t="s">
        <v>21</v>
      </c>
    </row>
    <row r="1335" spans="1:5" x14ac:dyDescent="0.3">
      <c r="A1335" t="s">
        <v>4</v>
      </c>
      <c r="B1335" s="1" t="s">
        <v>13</v>
      </c>
      <c r="C1335" t="s">
        <v>12</v>
      </c>
      <c r="D1335" t="s">
        <v>8</v>
      </c>
      <c r="E1335" t="s">
        <v>21</v>
      </c>
    </row>
    <row r="1336" spans="1:5" x14ac:dyDescent="0.3">
      <c r="A1336" t="s">
        <v>4</v>
      </c>
      <c r="B1336" s="1" t="s">
        <v>13</v>
      </c>
      <c r="C1336" t="s">
        <v>11</v>
      </c>
      <c r="D1336" t="s">
        <v>9</v>
      </c>
      <c r="E1336" t="s">
        <v>21</v>
      </c>
    </row>
    <row r="1337" spans="1:5" x14ac:dyDescent="0.3">
      <c r="A1337" t="s">
        <v>4</v>
      </c>
      <c r="B1337" s="1" t="s">
        <v>13</v>
      </c>
      <c r="C1337" t="s">
        <v>12</v>
      </c>
      <c r="D1337" t="s">
        <v>5</v>
      </c>
      <c r="E1337" t="s">
        <v>21</v>
      </c>
    </row>
    <row r="1338" spans="1:5" x14ac:dyDescent="0.3">
      <c r="A1338" t="s">
        <v>4</v>
      </c>
      <c r="B1338" s="1" t="s">
        <v>13</v>
      </c>
      <c r="C1338" t="s">
        <v>12</v>
      </c>
      <c r="D1338" t="s">
        <v>6</v>
      </c>
      <c r="E1338" t="s">
        <v>21</v>
      </c>
    </row>
    <row r="1339" spans="1:5" x14ac:dyDescent="0.3">
      <c r="A1339" t="s">
        <v>4</v>
      </c>
      <c r="B1339" s="1" t="s">
        <v>13</v>
      </c>
      <c r="C1339" t="s">
        <v>10</v>
      </c>
      <c r="D1339" t="s">
        <v>7</v>
      </c>
      <c r="E1339" t="s">
        <v>21</v>
      </c>
    </row>
    <row r="1340" spans="1:5" x14ac:dyDescent="0.3">
      <c r="A1340" t="s">
        <v>4</v>
      </c>
      <c r="B1340" s="1" t="s">
        <v>13</v>
      </c>
      <c r="C1340" t="s">
        <v>12</v>
      </c>
      <c r="D1340" t="s">
        <v>8</v>
      </c>
      <c r="E1340" t="s">
        <v>21</v>
      </c>
    </row>
    <row r="1341" spans="1:5" x14ac:dyDescent="0.3">
      <c r="A1341" t="s">
        <v>4</v>
      </c>
      <c r="B1341" s="1" t="s">
        <v>13</v>
      </c>
      <c r="C1341" t="s">
        <v>11</v>
      </c>
      <c r="D1341" t="s">
        <v>9</v>
      </c>
      <c r="E1341" t="s">
        <v>21</v>
      </c>
    </row>
    <row r="1342" spans="1:5" x14ac:dyDescent="0.3">
      <c r="A1342" t="s">
        <v>4</v>
      </c>
      <c r="B1342" s="1" t="s">
        <v>13</v>
      </c>
      <c r="C1342" t="s">
        <v>12</v>
      </c>
      <c r="D1342" t="s">
        <v>5</v>
      </c>
      <c r="E1342" t="s">
        <v>21</v>
      </c>
    </row>
    <row r="1343" spans="1:5" x14ac:dyDescent="0.3">
      <c r="A1343" t="s">
        <v>4</v>
      </c>
      <c r="B1343" s="1" t="s">
        <v>13</v>
      </c>
      <c r="C1343" t="s">
        <v>12</v>
      </c>
      <c r="D1343" t="s">
        <v>6</v>
      </c>
      <c r="E1343" t="s">
        <v>21</v>
      </c>
    </row>
    <row r="1344" spans="1:5" x14ac:dyDescent="0.3">
      <c r="A1344" t="s">
        <v>4</v>
      </c>
      <c r="B1344" s="1" t="s">
        <v>13</v>
      </c>
      <c r="C1344" t="s">
        <v>10</v>
      </c>
      <c r="D1344" t="s">
        <v>7</v>
      </c>
      <c r="E1344" t="s">
        <v>21</v>
      </c>
    </row>
    <row r="1345" spans="1:5" x14ac:dyDescent="0.3">
      <c r="A1345" t="s">
        <v>4</v>
      </c>
      <c r="B1345" s="1" t="s">
        <v>13</v>
      </c>
      <c r="C1345" t="s">
        <v>12</v>
      </c>
      <c r="D1345" t="s">
        <v>8</v>
      </c>
      <c r="E1345" t="s">
        <v>21</v>
      </c>
    </row>
    <row r="1346" spans="1:5" x14ac:dyDescent="0.3">
      <c r="A1346" t="s">
        <v>4</v>
      </c>
      <c r="B1346" s="1" t="s">
        <v>13</v>
      </c>
      <c r="C1346" t="s">
        <v>11</v>
      </c>
      <c r="D1346" t="s">
        <v>9</v>
      </c>
      <c r="E1346" t="s">
        <v>21</v>
      </c>
    </row>
    <row r="1347" spans="1:5" x14ac:dyDescent="0.3">
      <c r="A1347" t="s">
        <v>4</v>
      </c>
      <c r="B1347" s="1" t="s">
        <v>13</v>
      </c>
      <c r="C1347" t="s">
        <v>12</v>
      </c>
      <c r="D1347" t="s">
        <v>5</v>
      </c>
      <c r="E1347" t="s">
        <v>21</v>
      </c>
    </row>
    <row r="1348" spans="1:5" x14ac:dyDescent="0.3">
      <c r="A1348" t="s">
        <v>4</v>
      </c>
      <c r="B1348" s="1" t="s">
        <v>13</v>
      </c>
      <c r="C1348" t="s">
        <v>12</v>
      </c>
      <c r="D1348" t="s">
        <v>6</v>
      </c>
      <c r="E1348" t="s">
        <v>21</v>
      </c>
    </row>
    <row r="1349" spans="1:5" x14ac:dyDescent="0.3">
      <c r="A1349" t="s">
        <v>4</v>
      </c>
      <c r="B1349" s="1" t="s">
        <v>13</v>
      </c>
      <c r="C1349" t="s">
        <v>10</v>
      </c>
      <c r="D1349" t="s">
        <v>7</v>
      </c>
      <c r="E1349" t="s">
        <v>21</v>
      </c>
    </row>
    <row r="1350" spans="1:5" x14ac:dyDescent="0.3">
      <c r="A1350" t="s">
        <v>4</v>
      </c>
      <c r="B1350" s="1" t="s">
        <v>13</v>
      </c>
      <c r="C1350" t="s">
        <v>12</v>
      </c>
      <c r="D1350" t="s">
        <v>8</v>
      </c>
      <c r="E1350" t="s">
        <v>21</v>
      </c>
    </row>
    <row r="1351" spans="1:5" x14ac:dyDescent="0.3">
      <c r="A1351" t="s">
        <v>4</v>
      </c>
      <c r="B1351" s="1" t="s">
        <v>13</v>
      </c>
      <c r="C1351" t="s">
        <v>12</v>
      </c>
      <c r="D1351" t="s">
        <v>9</v>
      </c>
      <c r="E1351" t="s">
        <v>21</v>
      </c>
    </row>
    <row r="1352" spans="1:5" x14ac:dyDescent="0.3">
      <c r="A1352" t="s">
        <v>4</v>
      </c>
      <c r="B1352" s="1" t="s">
        <v>13</v>
      </c>
      <c r="C1352" t="s">
        <v>12</v>
      </c>
      <c r="D1352" t="s">
        <v>5</v>
      </c>
      <c r="E1352" t="s">
        <v>21</v>
      </c>
    </row>
    <row r="1353" spans="1:5" x14ac:dyDescent="0.3">
      <c r="A1353" t="s">
        <v>4</v>
      </c>
      <c r="B1353" s="1" t="s">
        <v>13</v>
      </c>
      <c r="C1353" t="s">
        <v>12</v>
      </c>
      <c r="D1353" t="s">
        <v>6</v>
      </c>
      <c r="E1353" t="s">
        <v>21</v>
      </c>
    </row>
    <row r="1354" spans="1:5" x14ac:dyDescent="0.3">
      <c r="A1354" t="s">
        <v>4</v>
      </c>
      <c r="B1354" s="1" t="s">
        <v>13</v>
      </c>
      <c r="C1354" t="s">
        <v>10</v>
      </c>
      <c r="D1354" t="s">
        <v>7</v>
      </c>
      <c r="E1354" t="s">
        <v>21</v>
      </c>
    </row>
    <row r="1355" spans="1:5" x14ac:dyDescent="0.3">
      <c r="A1355" t="s">
        <v>4</v>
      </c>
      <c r="B1355" s="1" t="s">
        <v>13</v>
      </c>
      <c r="C1355" t="s">
        <v>12</v>
      </c>
      <c r="D1355" t="s">
        <v>8</v>
      </c>
      <c r="E1355" t="s">
        <v>21</v>
      </c>
    </row>
    <row r="1356" spans="1:5" x14ac:dyDescent="0.3">
      <c r="A1356" t="s">
        <v>4</v>
      </c>
      <c r="B1356" s="1" t="s">
        <v>13</v>
      </c>
      <c r="C1356" t="s">
        <v>11</v>
      </c>
      <c r="D1356" t="s">
        <v>9</v>
      </c>
      <c r="E1356" t="s">
        <v>21</v>
      </c>
    </row>
    <row r="1357" spans="1:5" x14ac:dyDescent="0.3">
      <c r="A1357" t="s">
        <v>4</v>
      </c>
      <c r="B1357" s="1" t="s">
        <v>13</v>
      </c>
      <c r="C1357" t="s">
        <v>12</v>
      </c>
      <c r="D1357" t="s">
        <v>5</v>
      </c>
      <c r="E1357" t="s">
        <v>21</v>
      </c>
    </row>
    <row r="1358" spans="1:5" x14ac:dyDescent="0.3">
      <c r="A1358" t="s">
        <v>4</v>
      </c>
      <c r="B1358" s="1" t="s">
        <v>13</v>
      </c>
      <c r="C1358" t="s">
        <v>12</v>
      </c>
      <c r="D1358" t="s">
        <v>6</v>
      </c>
      <c r="E1358" t="s">
        <v>21</v>
      </c>
    </row>
    <row r="1359" spans="1:5" x14ac:dyDescent="0.3">
      <c r="A1359" t="s">
        <v>4</v>
      </c>
      <c r="B1359" s="1" t="s">
        <v>13</v>
      </c>
      <c r="C1359" t="s">
        <v>10</v>
      </c>
      <c r="D1359" t="s">
        <v>7</v>
      </c>
      <c r="E1359" t="s">
        <v>21</v>
      </c>
    </row>
    <row r="1360" spans="1:5" x14ac:dyDescent="0.3">
      <c r="A1360" t="s">
        <v>4</v>
      </c>
      <c r="B1360" s="1" t="s">
        <v>13</v>
      </c>
      <c r="C1360" t="s">
        <v>11</v>
      </c>
      <c r="D1360" t="s">
        <v>8</v>
      </c>
      <c r="E1360" t="s">
        <v>21</v>
      </c>
    </row>
    <row r="1361" spans="1:5" x14ac:dyDescent="0.3">
      <c r="A1361" t="s">
        <v>4</v>
      </c>
      <c r="B1361" s="1" t="s">
        <v>13</v>
      </c>
      <c r="C1361" t="s">
        <v>11</v>
      </c>
      <c r="D1361" t="s">
        <v>9</v>
      </c>
      <c r="E1361" t="s">
        <v>21</v>
      </c>
    </row>
    <row r="1362" spans="1:5" x14ac:dyDescent="0.3">
      <c r="A1362" t="s">
        <v>4</v>
      </c>
      <c r="B1362" s="1" t="s">
        <v>13</v>
      </c>
      <c r="C1362" t="s">
        <v>12</v>
      </c>
      <c r="D1362" t="s">
        <v>5</v>
      </c>
      <c r="E1362" t="s">
        <v>21</v>
      </c>
    </row>
    <row r="1363" spans="1:5" x14ac:dyDescent="0.3">
      <c r="A1363" t="s">
        <v>4</v>
      </c>
      <c r="B1363" s="1" t="s">
        <v>13</v>
      </c>
      <c r="C1363" t="s">
        <v>12</v>
      </c>
      <c r="D1363" t="s">
        <v>6</v>
      </c>
      <c r="E1363" t="s">
        <v>21</v>
      </c>
    </row>
    <row r="1364" spans="1:5" x14ac:dyDescent="0.3">
      <c r="A1364" t="s">
        <v>4</v>
      </c>
      <c r="B1364" s="1" t="s">
        <v>13</v>
      </c>
      <c r="C1364" t="s">
        <v>10</v>
      </c>
      <c r="D1364" t="s">
        <v>7</v>
      </c>
      <c r="E1364" t="s">
        <v>21</v>
      </c>
    </row>
    <row r="1365" spans="1:5" x14ac:dyDescent="0.3">
      <c r="A1365" t="s">
        <v>4</v>
      </c>
      <c r="B1365" s="1" t="s">
        <v>13</v>
      </c>
      <c r="C1365" t="s">
        <v>11</v>
      </c>
      <c r="D1365" t="s">
        <v>8</v>
      </c>
      <c r="E1365" t="s">
        <v>21</v>
      </c>
    </row>
    <row r="1366" spans="1:5" x14ac:dyDescent="0.3">
      <c r="A1366" t="s">
        <v>4</v>
      </c>
      <c r="B1366" s="1" t="s">
        <v>13</v>
      </c>
      <c r="C1366" t="s">
        <v>11</v>
      </c>
      <c r="D1366" t="s">
        <v>9</v>
      </c>
      <c r="E1366" t="s">
        <v>21</v>
      </c>
    </row>
    <row r="1367" spans="1:5" x14ac:dyDescent="0.3">
      <c r="A1367" t="s">
        <v>4</v>
      </c>
      <c r="B1367" s="1" t="s">
        <v>13</v>
      </c>
      <c r="C1367" t="s">
        <v>12</v>
      </c>
      <c r="D1367" t="s">
        <v>5</v>
      </c>
      <c r="E1367" t="s">
        <v>21</v>
      </c>
    </row>
    <row r="1368" spans="1:5" x14ac:dyDescent="0.3">
      <c r="A1368" t="s">
        <v>4</v>
      </c>
      <c r="B1368" s="1" t="s">
        <v>13</v>
      </c>
      <c r="C1368" t="s">
        <v>12</v>
      </c>
      <c r="D1368" t="s">
        <v>6</v>
      </c>
      <c r="E1368" t="s">
        <v>21</v>
      </c>
    </row>
    <row r="1369" spans="1:5" x14ac:dyDescent="0.3">
      <c r="A1369" t="s">
        <v>4</v>
      </c>
      <c r="B1369" s="1" t="s">
        <v>13</v>
      </c>
      <c r="C1369" t="s">
        <v>10</v>
      </c>
      <c r="D1369" t="s">
        <v>7</v>
      </c>
      <c r="E1369" t="s">
        <v>21</v>
      </c>
    </row>
    <row r="1370" spans="1:5" x14ac:dyDescent="0.3">
      <c r="A1370" t="s">
        <v>4</v>
      </c>
      <c r="B1370" s="1" t="s">
        <v>13</v>
      </c>
      <c r="C1370" t="s">
        <v>12</v>
      </c>
      <c r="D1370" t="s">
        <v>8</v>
      </c>
      <c r="E1370" t="s">
        <v>21</v>
      </c>
    </row>
    <row r="1371" spans="1:5" x14ac:dyDescent="0.3">
      <c r="A1371" t="s">
        <v>4</v>
      </c>
      <c r="B1371" s="1" t="s">
        <v>13</v>
      </c>
      <c r="C1371" t="s">
        <v>12</v>
      </c>
      <c r="D1371" t="s">
        <v>9</v>
      </c>
      <c r="E1371" t="s">
        <v>21</v>
      </c>
    </row>
    <row r="1372" spans="1:5" x14ac:dyDescent="0.3">
      <c r="A1372" t="s">
        <v>4</v>
      </c>
      <c r="B1372" s="1" t="s">
        <v>13</v>
      </c>
      <c r="C1372" t="s">
        <v>12</v>
      </c>
      <c r="D1372" t="s">
        <v>5</v>
      </c>
      <c r="E1372" t="s">
        <v>21</v>
      </c>
    </row>
    <row r="1373" spans="1:5" x14ac:dyDescent="0.3">
      <c r="A1373" t="s">
        <v>4</v>
      </c>
      <c r="B1373" s="1" t="s">
        <v>13</v>
      </c>
      <c r="C1373" t="s">
        <v>12</v>
      </c>
      <c r="D1373" t="s">
        <v>6</v>
      </c>
      <c r="E1373" t="s">
        <v>21</v>
      </c>
    </row>
    <row r="1374" spans="1:5" x14ac:dyDescent="0.3">
      <c r="A1374" t="s">
        <v>4</v>
      </c>
      <c r="B1374" s="1" t="s">
        <v>13</v>
      </c>
      <c r="C1374" t="s">
        <v>10</v>
      </c>
      <c r="D1374" t="s">
        <v>7</v>
      </c>
      <c r="E1374" t="s">
        <v>21</v>
      </c>
    </row>
    <row r="1375" spans="1:5" x14ac:dyDescent="0.3">
      <c r="A1375" t="s">
        <v>4</v>
      </c>
      <c r="B1375" s="1" t="s">
        <v>13</v>
      </c>
      <c r="C1375" t="s">
        <v>10</v>
      </c>
      <c r="D1375" t="s">
        <v>8</v>
      </c>
      <c r="E1375" t="s">
        <v>21</v>
      </c>
    </row>
    <row r="1376" spans="1:5" x14ac:dyDescent="0.3">
      <c r="A1376" t="s">
        <v>4</v>
      </c>
      <c r="B1376" s="1" t="s">
        <v>13</v>
      </c>
      <c r="C1376" t="s">
        <v>12</v>
      </c>
      <c r="D1376" t="s">
        <v>9</v>
      </c>
      <c r="E1376" t="s">
        <v>21</v>
      </c>
    </row>
    <row r="1377" spans="1:5" x14ac:dyDescent="0.3">
      <c r="A1377" t="s">
        <v>4</v>
      </c>
      <c r="B1377" s="1" t="s">
        <v>13</v>
      </c>
      <c r="C1377" t="s">
        <v>12</v>
      </c>
      <c r="D1377" t="s">
        <v>5</v>
      </c>
      <c r="E1377" t="s">
        <v>21</v>
      </c>
    </row>
    <row r="1378" spans="1:5" x14ac:dyDescent="0.3">
      <c r="A1378" t="s">
        <v>4</v>
      </c>
      <c r="B1378" s="1" t="s">
        <v>13</v>
      </c>
      <c r="C1378" t="s">
        <v>12</v>
      </c>
      <c r="D1378" t="s">
        <v>6</v>
      </c>
      <c r="E1378" t="s">
        <v>21</v>
      </c>
    </row>
    <row r="1379" spans="1:5" x14ac:dyDescent="0.3">
      <c r="A1379" t="s">
        <v>4</v>
      </c>
      <c r="B1379" s="1" t="s">
        <v>13</v>
      </c>
      <c r="C1379" t="s">
        <v>10</v>
      </c>
      <c r="D1379" t="s">
        <v>7</v>
      </c>
      <c r="E1379" t="s">
        <v>21</v>
      </c>
    </row>
    <row r="1380" spans="1:5" x14ac:dyDescent="0.3">
      <c r="A1380" t="s">
        <v>4</v>
      </c>
      <c r="B1380" s="1" t="s">
        <v>13</v>
      </c>
      <c r="C1380" t="s">
        <v>12</v>
      </c>
      <c r="D1380" t="s">
        <v>8</v>
      </c>
      <c r="E1380" t="s">
        <v>21</v>
      </c>
    </row>
    <row r="1381" spans="1:5" x14ac:dyDescent="0.3">
      <c r="A1381" t="s">
        <v>4</v>
      </c>
      <c r="B1381" s="1" t="s">
        <v>13</v>
      </c>
      <c r="C1381" t="s">
        <v>12</v>
      </c>
      <c r="D1381" t="s">
        <v>9</v>
      </c>
      <c r="E1381" t="s">
        <v>21</v>
      </c>
    </row>
    <row r="1382" spans="1:5" x14ac:dyDescent="0.3">
      <c r="A1382" t="s">
        <v>4</v>
      </c>
      <c r="B1382" s="1" t="s">
        <v>13</v>
      </c>
      <c r="C1382" t="s">
        <v>12</v>
      </c>
      <c r="D1382" t="s">
        <v>5</v>
      </c>
      <c r="E1382" t="s">
        <v>21</v>
      </c>
    </row>
    <row r="1383" spans="1:5" x14ac:dyDescent="0.3">
      <c r="A1383" t="s">
        <v>4</v>
      </c>
      <c r="B1383" s="1" t="s">
        <v>13</v>
      </c>
      <c r="C1383" t="s">
        <v>12</v>
      </c>
      <c r="D1383" t="s">
        <v>6</v>
      </c>
      <c r="E1383" t="s">
        <v>21</v>
      </c>
    </row>
    <row r="1384" spans="1:5" x14ac:dyDescent="0.3">
      <c r="A1384" t="s">
        <v>4</v>
      </c>
      <c r="B1384" s="1" t="s">
        <v>13</v>
      </c>
      <c r="C1384" t="s">
        <v>10</v>
      </c>
      <c r="D1384" t="s">
        <v>7</v>
      </c>
      <c r="E1384" t="s">
        <v>21</v>
      </c>
    </row>
    <row r="1385" spans="1:5" x14ac:dyDescent="0.3">
      <c r="A1385" t="s">
        <v>4</v>
      </c>
      <c r="B1385" s="1" t="s">
        <v>13</v>
      </c>
      <c r="C1385" t="s">
        <v>12</v>
      </c>
      <c r="D1385" t="s">
        <v>8</v>
      </c>
      <c r="E1385" t="s">
        <v>21</v>
      </c>
    </row>
    <row r="1386" spans="1:5" x14ac:dyDescent="0.3">
      <c r="A1386" t="s">
        <v>4</v>
      </c>
      <c r="B1386" s="1" t="s">
        <v>13</v>
      </c>
      <c r="C1386" t="s">
        <v>12</v>
      </c>
      <c r="D1386" t="s">
        <v>9</v>
      </c>
      <c r="E1386" t="s">
        <v>21</v>
      </c>
    </row>
    <row r="1387" spans="1:5" x14ac:dyDescent="0.3">
      <c r="A1387" t="s">
        <v>4</v>
      </c>
      <c r="B1387" s="1" t="s">
        <v>13</v>
      </c>
      <c r="C1387" t="s">
        <v>12</v>
      </c>
      <c r="D1387" t="s">
        <v>5</v>
      </c>
      <c r="E1387" t="s">
        <v>21</v>
      </c>
    </row>
    <row r="1388" spans="1:5" x14ac:dyDescent="0.3">
      <c r="A1388" t="s">
        <v>4</v>
      </c>
      <c r="B1388" s="1" t="s">
        <v>13</v>
      </c>
      <c r="C1388" t="s">
        <v>12</v>
      </c>
      <c r="D1388" t="s">
        <v>6</v>
      </c>
      <c r="E1388" t="s">
        <v>21</v>
      </c>
    </row>
    <row r="1389" spans="1:5" x14ac:dyDescent="0.3">
      <c r="A1389" t="s">
        <v>4</v>
      </c>
      <c r="B1389" s="1" t="s">
        <v>13</v>
      </c>
      <c r="C1389" t="s">
        <v>10</v>
      </c>
      <c r="D1389" t="s">
        <v>7</v>
      </c>
      <c r="E1389" t="s">
        <v>21</v>
      </c>
    </row>
    <row r="1390" spans="1:5" x14ac:dyDescent="0.3">
      <c r="A1390" t="s">
        <v>4</v>
      </c>
      <c r="B1390" s="1" t="s">
        <v>13</v>
      </c>
      <c r="C1390" t="s">
        <v>12</v>
      </c>
      <c r="D1390" t="s">
        <v>8</v>
      </c>
      <c r="E1390" t="s">
        <v>21</v>
      </c>
    </row>
    <row r="1391" spans="1:5" x14ac:dyDescent="0.3">
      <c r="A1391" t="s">
        <v>4</v>
      </c>
      <c r="B1391" s="1" t="s">
        <v>13</v>
      </c>
      <c r="C1391" t="s">
        <v>12</v>
      </c>
      <c r="D1391" t="s">
        <v>9</v>
      </c>
      <c r="E1391" t="s">
        <v>21</v>
      </c>
    </row>
    <row r="1392" spans="1:5" x14ac:dyDescent="0.3">
      <c r="A1392" t="s">
        <v>4</v>
      </c>
      <c r="B1392" s="1" t="s">
        <v>13</v>
      </c>
      <c r="C1392" t="s">
        <v>12</v>
      </c>
      <c r="D1392" t="s">
        <v>5</v>
      </c>
      <c r="E1392" t="s">
        <v>21</v>
      </c>
    </row>
    <row r="1393" spans="1:5" x14ac:dyDescent="0.3">
      <c r="A1393" t="s">
        <v>4</v>
      </c>
      <c r="B1393" s="1" t="s">
        <v>13</v>
      </c>
      <c r="C1393" t="s">
        <v>12</v>
      </c>
      <c r="D1393" t="s">
        <v>6</v>
      </c>
      <c r="E1393" t="s">
        <v>21</v>
      </c>
    </row>
    <row r="1394" spans="1:5" x14ac:dyDescent="0.3">
      <c r="A1394" t="s">
        <v>4</v>
      </c>
      <c r="B1394" s="1" t="s">
        <v>13</v>
      </c>
      <c r="C1394" t="s">
        <v>10</v>
      </c>
      <c r="D1394" t="s">
        <v>7</v>
      </c>
      <c r="E1394" t="s">
        <v>21</v>
      </c>
    </row>
    <row r="1395" spans="1:5" x14ac:dyDescent="0.3">
      <c r="A1395" t="s">
        <v>4</v>
      </c>
      <c r="B1395" s="1" t="s">
        <v>13</v>
      </c>
      <c r="C1395" t="s">
        <v>12</v>
      </c>
      <c r="D1395" t="s">
        <v>8</v>
      </c>
      <c r="E1395" t="s">
        <v>21</v>
      </c>
    </row>
    <row r="1396" spans="1:5" x14ac:dyDescent="0.3">
      <c r="A1396" t="s">
        <v>4</v>
      </c>
      <c r="B1396" s="1" t="s">
        <v>13</v>
      </c>
      <c r="C1396" t="s">
        <v>12</v>
      </c>
      <c r="D1396" t="s">
        <v>9</v>
      </c>
      <c r="E1396" t="s">
        <v>21</v>
      </c>
    </row>
    <row r="1397" spans="1:5" x14ac:dyDescent="0.3">
      <c r="A1397" t="s">
        <v>4</v>
      </c>
      <c r="B1397" s="1" t="s">
        <v>13</v>
      </c>
      <c r="C1397" t="s">
        <v>12</v>
      </c>
      <c r="D1397" t="s">
        <v>5</v>
      </c>
      <c r="E1397" t="s">
        <v>21</v>
      </c>
    </row>
    <row r="1398" spans="1:5" x14ac:dyDescent="0.3">
      <c r="A1398" t="s">
        <v>4</v>
      </c>
      <c r="B1398" s="1" t="s">
        <v>13</v>
      </c>
      <c r="C1398" t="s">
        <v>12</v>
      </c>
      <c r="D1398" t="s">
        <v>6</v>
      </c>
      <c r="E1398" t="s">
        <v>21</v>
      </c>
    </row>
    <row r="1399" spans="1:5" x14ac:dyDescent="0.3">
      <c r="A1399" t="s">
        <v>4</v>
      </c>
      <c r="B1399" s="1" t="s">
        <v>13</v>
      </c>
      <c r="C1399" t="s">
        <v>10</v>
      </c>
      <c r="D1399" t="s">
        <v>7</v>
      </c>
      <c r="E1399" t="s">
        <v>21</v>
      </c>
    </row>
    <row r="1400" spans="1:5" x14ac:dyDescent="0.3">
      <c r="A1400" t="s">
        <v>4</v>
      </c>
      <c r="B1400" s="1" t="s">
        <v>13</v>
      </c>
      <c r="C1400" t="s">
        <v>12</v>
      </c>
      <c r="D1400" t="s">
        <v>8</v>
      </c>
      <c r="E1400" t="s">
        <v>21</v>
      </c>
    </row>
    <row r="1401" spans="1:5" x14ac:dyDescent="0.3">
      <c r="A1401" t="s">
        <v>4</v>
      </c>
      <c r="B1401" s="1" t="s">
        <v>13</v>
      </c>
      <c r="C1401" t="s">
        <v>12</v>
      </c>
      <c r="D1401" t="s">
        <v>9</v>
      </c>
      <c r="E1401" t="s">
        <v>21</v>
      </c>
    </row>
    <row r="1402" spans="1:5" x14ac:dyDescent="0.3">
      <c r="A1402" t="s">
        <v>4</v>
      </c>
      <c r="B1402" s="1" t="s">
        <v>13</v>
      </c>
      <c r="C1402" t="s">
        <v>12</v>
      </c>
      <c r="D1402" t="s">
        <v>5</v>
      </c>
      <c r="E1402" t="s">
        <v>21</v>
      </c>
    </row>
    <row r="1403" spans="1:5" x14ac:dyDescent="0.3">
      <c r="A1403" t="s">
        <v>4</v>
      </c>
      <c r="B1403" s="1" t="s">
        <v>13</v>
      </c>
      <c r="C1403" t="s">
        <v>12</v>
      </c>
      <c r="D1403" t="s">
        <v>6</v>
      </c>
      <c r="E1403" t="s">
        <v>21</v>
      </c>
    </row>
    <row r="1404" spans="1:5" x14ac:dyDescent="0.3">
      <c r="A1404" t="s">
        <v>4</v>
      </c>
      <c r="B1404" s="1" t="s">
        <v>13</v>
      </c>
      <c r="C1404" t="s">
        <v>10</v>
      </c>
      <c r="D1404" t="s">
        <v>7</v>
      </c>
      <c r="E1404" t="s">
        <v>21</v>
      </c>
    </row>
    <row r="1405" spans="1:5" x14ac:dyDescent="0.3">
      <c r="A1405" t="s">
        <v>4</v>
      </c>
      <c r="B1405" s="1" t="s">
        <v>13</v>
      </c>
      <c r="C1405" t="s">
        <v>12</v>
      </c>
      <c r="D1405" t="s">
        <v>8</v>
      </c>
      <c r="E1405" t="s">
        <v>21</v>
      </c>
    </row>
    <row r="1406" spans="1:5" x14ac:dyDescent="0.3">
      <c r="A1406" t="s">
        <v>4</v>
      </c>
      <c r="B1406" s="1" t="s">
        <v>13</v>
      </c>
      <c r="C1406" t="s">
        <v>12</v>
      </c>
      <c r="D1406" t="s">
        <v>9</v>
      </c>
      <c r="E1406" t="s">
        <v>21</v>
      </c>
    </row>
    <row r="1407" spans="1:5" x14ac:dyDescent="0.3">
      <c r="A1407" t="s">
        <v>4</v>
      </c>
      <c r="B1407" s="1" t="s">
        <v>13</v>
      </c>
      <c r="C1407" t="s">
        <v>12</v>
      </c>
      <c r="D1407" t="s">
        <v>5</v>
      </c>
      <c r="E1407" t="s">
        <v>21</v>
      </c>
    </row>
    <row r="1408" spans="1:5" x14ac:dyDescent="0.3">
      <c r="A1408" t="s">
        <v>4</v>
      </c>
      <c r="B1408" s="1" t="s">
        <v>13</v>
      </c>
      <c r="C1408" t="s">
        <v>12</v>
      </c>
      <c r="D1408" t="s">
        <v>6</v>
      </c>
      <c r="E1408" t="s">
        <v>21</v>
      </c>
    </row>
    <row r="1409" spans="1:5" x14ac:dyDescent="0.3">
      <c r="A1409" t="s">
        <v>4</v>
      </c>
      <c r="B1409" s="1" t="s">
        <v>13</v>
      </c>
      <c r="C1409" t="s">
        <v>10</v>
      </c>
      <c r="D1409" t="s">
        <v>7</v>
      </c>
      <c r="E1409" t="s">
        <v>21</v>
      </c>
    </row>
    <row r="1410" spans="1:5" x14ac:dyDescent="0.3">
      <c r="A1410" t="s">
        <v>4</v>
      </c>
      <c r="B1410" s="1" t="s">
        <v>13</v>
      </c>
      <c r="C1410" t="s">
        <v>12</v>
      </c>
      <c r="D1410" t="s">
        <v>8</v>
      </c>
      <c r="E1410" t="s">
        <v>21</v>
      </c>
    </row>
    <row r="1411" spans="1:5" x14ac:dyDescent="0.3">
      <c r="A1411" t="s">
        <v>4</v>
      </c>
      <c r="B1411" s="1" t="s">
        <v>13</v>
      </c>
      <c r="C1411" t="s">
        <v>12</v>
      </c>
      <c r="D1411" t="s">
        <v>9</v>
      </c>
      <c r="E1411" t="s">
        <v>21</v>
      </c>
    </row>
    <row r="1412" spans="1:5" x14ac:dyDescent="0.3">
      <c r="A1412" t="s">
        <v>4</v>
      </c>
      <c r="B1412" s="1" t="s">
        <v>13</v>
      </c>
      <c r="C1412" t="s">
        <v>12</v>
      </c>
      <c r="D1412" t="s">
        <v>5</v>
      </c>
      <c r="E1412" t="s">
        <v>21</v>
      </c>
    </row>
    <row r="1413" spans="1:5" x14ac:dyDescent="0.3">
      <c r="A1413" t="s">
        <v>4</v>
      </c>
      <c r="B1413" s="1" t="s">
        <v>13</v>
      </c>
      <c r="C1413" t="s">
        <v>12</v>
      </c>
      <c r="D1413" t="s">
        <v>6</v>
      </c>
      <c r="E1413" t="s">
        <v>21</v>
      </c>
    </row>
    <row r="1414" spans="1:5" x14ac:dyDescent="0.3">
      <c r="A1414" t="s">
        <v>4</v>
      </c>
      <c r="B1414" s="1" t="s">
        <v>13</v>
      </c>
      <c r="C1414" t="s">
        <v>10</v>
      </c>
      <c r="D1414" t="s">
        <v>7</v>
      </c>
      <c r="E1414" t="s">
        <v>21</v>
      </c>
    </row>
    <row r="1415" spans="1:5" x14ac:dyDescent="0.3">
      <c r="A1415" t="s">
        <v>4</v>
      </c>
      <c r="B1415" s="1" t="s">
        <v>13</v>
      </c>
      <c r="C1415" t="s">
        <v>12</v>
      </c>
      <c r="D1415" t="s">
        <v>8</v>
      </c>
      <c r="E1415" t="s">
        <v>21</v>
      </c>
    </row>
    <row r="1416" spans="1:5" x14ac:dyDescent="0.3">
      <c r="A1416" t="s">
        <v>4</v>
      </c>
      <c r="B1416" s="1" t="s">
        <v>13</v>
      </c>
      <c r="C1416" t="s">
        <v>12</v>
      </c>
      <c r="D1416" t="s">
        <v>9</v>
      </c>
      <c r="E1416" t="s">
        <v>21</v>
      </c>
    </row>
    <row r="1417" spans="1:5" x14ac:dyDescent="0.3">
      <c r="A1417" t="s">
        <v>4</v>
      </c>
      <c r="B1417" s="1" t="s">
        <v>13</v>
      </c>
      <c r="C1417" t="s">
        <v>12</v>
      </c>
      <c r="D1417" t="s">
        <v>5</v>
      </c>
      <c r="E1417" t="s">
        <v>21</v>
      </c>
    </row>
    <row r="1418" spans="1:5" x14ac:dyDescent="0.3">
      <c r="A1418" t="s">
        <v>4</v>
      </c>
      <c r="B1418" s="1" t="s">
        <v>13</v>
      </c>
      <c r="C1418" t="s">
        <v>12</v>
      </c>
      <c r="D1418" t="s">
        <v>6</v>
      </c>
      <c r="E1418" t="s">
        <v>21</v>
      </c>
    </row>
    <row r="1419" spans="1:5" x14ac:dyDescent="0.3">
      <c r="A1419" t="s">
        <v>4</v>
      </c>
      <c r="B1419" s="1" t="s">
        <v>13</v>
      </c>
      <c r="C1419" t="s">
        <v>10</v>
      </c>
      <c r="D1419" t="s">
        <v>7</v>
      </c>
      <c r="E1419" t="s">
        <v>21</v>
      </c>
    </row>
    <row r="1420" spans="1:5" x14ac:dyDescent="0.3">
      <c r="A1420" t="s">
        <v>4</v>
      </c>
      <c r="B1420" s="1" t="s">
        <v>13</v>
      </c>
      <c r="C1420" t="s">
        <v>12</v>
      </c>
      <c r="D1420" t="s">
        <v>8</v>
      </c>
      <c r="E1420" t="s">
        <v>21</v>
      </c>
    </row>
    <row r="1421" spans="1:5" x14ac:dyDescent="0.3">
      <c r="A1421" t="s">
        <v>4</v>
      </c>
      <c r="B1421" s="1" t="s">
        <v>13</v>
      </c>
      <c r="C1421" t="s">
        <v>12</v>
      </c>
      <c r="D1421" t="s">
        <v>9</v>
      </c>
      <c r="E1421" t="s">
        <v>21</v>
      </c>
    </row>
    <row r="1422" spans="1:5" x14ac:dyDescent="0.3">
      <c r="A1422" t="s">
        <v>4</v>
      </c>
      <c r="B1422" s="1" t="s">
        <v>13</v>
      </c>
      <c r="C1422" t="s">
        <v>12</v>
      </c>
      <c r="D1422" t="s">
        <v>5</v>
      </c>
      <c r="E1422" t="s">
        <v>21</v>
      </c>
    </row>
    <row r="1423" spans="1:5" x14ac:dyDescent="0.3">
      <c r="A1423" t="s">
        <v>4</v>
      </c>
      <c r="B1423" s="1" t="s">
        <v>13</v>
      </c>
      <c r="C1423" t="s">
        <v>12</v>
      </c>
      <c r="D1423" t="s">
        <v>6</v>
      </c>
      <c r="E1423" t="s">
        <v>21</v>
      </c>
    </row>
    <row r="1424" spans="1:5" x14ac:dyDescent="0.3">
      <c r="A1424" t="s">
        <v>4</v>
      </c>
      <c r="B1424" s="1" t="s">
        <v>13</v>
      </c>
      <c r="C1424" t="s">
        <v>10</v>
      </c>
      <c r="D1424" t="s">
        <v>7</v>
      </c>
      <c r="E1424" t="s">
        <v>21</v>
      </c>
    </row>
    <row r="1425" spans="1:5" x14ac:dyDescent="0.3">
      <c r="A1425" t="s">
        <v>4</v>
      </c>
      <c r="B1425" s="1" t="s">
        <v>13</v>
      </c>
      <c r="C1425" t="s">
        <v>12</v>
      </c>
      <c r="D1425" t="s">
        <v>8</v>
      </c>
      <c r="E1425" t="s">
        <v>21</v>
      </c>
    </row>
    <row r="1426" spans="1:5" x14ac:dyDescent="0.3">
      <c r="A1426" t="s">
        <v>4</v>
      </c>
      <c r="B1426" s="1" t="s">
        <v>13</v>
      </c>
      <c r="C1426" t="s">
        <v>12</v>
      </c>
      <c r="D1426" t="s">
        <v>9</v>
      </c>
      <c r="E1426" t="s">
        <v>21</v>
      </c>
    </row>
    <row r="1427" spans="1:5" x14ac:dyDescent="0.3">
      <c r="A1427" t="s">
        <v>4</v>
      </c>
      <c r="B1427" s="1" t="s">
        <v>13</v>
      </c>
      <c r="C1427" t="s">
        <v>12</v>
      </c>
      <c r="D1427" t="s">
        <v>5</v>
      </c>
      <c r="E1427" t="s">
        <v>21</v>
      </c>
    </row>
    <row r="1428" spans="1:5" x14ac:dyDescent="0.3">
      <c r="A1428" t="s">
        <v>4</v>
      </c>
      <c r="B1428" s="1" t="s">
        <v>13</v>
      </c>
      <c r="C1428" t="s">
        <v>12</v>
      </c>
      <c r="D1428" t="s">
        <v>6</v>
      </c>
      <c r="E1428" t="s">
        <v>21</v>
      </c>
    </row>
    <row r="1429" spans="1:5" x14ac:dyDescent="0.3">
      <c r="A1429" t="s">
        <v>4</v>
      </c>
      <c r="B1429" s="1" t="s">
        <v>13</v>
      </c>
      <c r="C1429" t="s">
        <v>10</v>
      </c>
      <c r="D1429" t="s">
        <v>7</v>
      </c>
      <c r="E1429" t="s">
        <v>21</v>
      </c>
    </row>
    <row r="1430" spans="1:5" x14ac:dyDescent="0.3">
      <c r="A1430" t="s">
        <v>4</v>
      </c>
      <c r="B1430" s="1" t="s">
        <v>13</v>
      </c>
      <c r="C1430" t="s">
        <v>12</v>
      </c>
      <c r="D1430" t="s">
        <v>8</v>
      </c>
      <c r="E1430" t="s">
        <v>21</v>
      </c>
    </row>
    <row r="1431" spans="1:5" x14ac:dyDescent="0.3">
      <c r="A1431" t="s">
        <v>4</v>
      </c>
      <c r="B1431" s="1" t="s">
        <v>13</v>
      </c>
      <c r="C1431" t="s">
        <v>12</v>
      </c>
      <c r="D1431" t="s">
        <v>9</v>
      </c>
      <c r="E1431" t="s">
        <v>21</v>
      </c>
    </row>
    <row r="1432" spans="1:5" x14ac:dyDescent="0.3">
      <c r="A1432" t="s">
        <v>4</v>
      </c>
      <c r="B1432" s="1" t="s">
        <v>13</v>
      </c>
      <c r="C1432" t="s">
        <v>12</v>
      </c>
      <c r="D1432" t="s">
        <v>5</v>
      </c>
      <c r="E1432" t="s">
        <v>21</v>
      </c>
    </row>
    <row r="1433" spans="1:5" x14ac:dyDescent="0.3">
      <c r="A1433" t="s">
        <v>4</v>
      </c>
      <c r="B1433" s="1" t="s">
        <v>13</v>
      </c>
      <c r="C1433" t="s">
        <v>12</v>
      </c>
      <c r="D1433" t="s">
        <v>6</v>
      </c>
      <c r="E1433" t="s">
        <v>21</v>
      </c>
    </row>
    <row r="1434" spans="1:5" x14ac:dyDescent="0.3">
      <c r="A1434" t="s">
        <v>4</v>
      </c>
      <c r="B1434" s="1" t="s">
        <v>13</v>
      </c>
      <c r="C1434" t="s">
        <v>10</v>
      </c>
      <c r="D1434" t="s">
        <v>7</v>
      </c>
      <c r="E1434" t="s">
        <v>21</v>
      </c>
    </row>
    <row r="1435" spans="1:5" x14ac:dyDescent="0.3">
      <c r="A1435" t="s">
        <v>4</v>
      </c>
      <c r="B1435" s="1" t="s">
        <v>13</v>
      </c>
      <c r="C1435" t="s">
        <v>12</v>
      </c>
      <c r="D1435" t="s">
        <v>8</v>
      </c>
      <c r="E1435" t="s">
        <v>21</v>
      </c>
    </row>
    <row r="1436" spans="1:5" x14ac:dyDescent="0.3">
      <c r="A1436" t="s">
        <v>4</v>
      </c>
      <c r="B1436" s="1" t="s">
        <v>13</v>
      </c>
      <c r="C1436" t="s">
        <v>12</v>
      </c>
      <c r="D1436" t="s">
        <v>9</v>
      </c>
      <c r="E1436" t="s">
        <v>21</v>
      </c>
    </row>
    <row r="1437" spans="1:5" x14ac:dyDescent="0.3">
      <c r="A1437" t="s">
        <v>4</v>
      </c>
      <c r="B1437" s="1" t="s">
        <v>13</v>
      </c>
      <c r="C1437" t="s">
        <v>12</v>
      </c>
      <c r="D1437" t="s">
        <v>5</v>
      </c>
      <c r="E1437" t="s">
        <v>21</v>
      </c>
    </row>
    <row r="1438" spans="1:5" x14ac:dyDescent="0.3">
      <c r="A1438" t="s">
        <v>4</v>
      </c>
      <c r="B1438" s="1" t="s">
        <v>13</v>
      </c>
      <c r="C1438" t="s">
        <v>12</v>
      </c>
      <c r="D1438" t="s">
        <v>6</v>
      </c>
      <c r="E1438" t="s">
        <v>21</v>
      </c>
    </row>
    <row r="1439" spans="1:5" x14ac:dyDescent="0.3">
      <c r="A1439" t="s">
        <v>4</v>
      </c>
      <c r="B1439" s="1" t="s">
        <v>13</v>
      </c>
      <c r="C1439" t="s">
        <v>10</v>
      </c>
      <c r="D1439" t="s">
        <v>7</v>
      </c>
      <c r="E1439" t="s">
        <v>21</v>
      </c>
    </row>
    <row r="1440" spans="1:5" x14ac:dyDescent="0.3">
      <c r="A1440" t="s">
        <v>4</v>
      </c>
      <c r="B1440" s="1" t="s">
        <v>13</v>
      </c>
      <c r="C1440" t="s">
        <v>12</v>
      </c>
      <c r="D1440" t="s">
        <v>8</v>
      </c>
      <c r="E1440" t="s">
        <v>21</v>
      </c>
    </row>
    <row r="1441" spans="1:5" x14ac:dyDescent="0.3">
      <c r="A1441" t="s">
        <v>4</v>
      </c>
      <c r="B1441" s="1" t="s">
        <v>13</v>
      </c>
      <c r="C1441" t="s">
        <v>12</v>
      </c>
      <c r="D1441" t="s">
        <v>9</v>
      </c>
      <c r="E1441" t="s">
        <v>21</v>
      </c>
    </row>
    <row r="1442" spans="1:5" x14ac:dyDescent="0.3">
      <c r="A1442" t="s">
        <v>4</v>
      </c>
      <c r="B1442" s="1" t="s">
        <v>13</v>
      </c>
      <c r="C1442" t="s">
        <v>12</v>
      </c>
      <c r="D1442" t="s">
        <v>5</v>
      </c>
      <c r="E1442" t="s">
        <v>21</v>
      </c>
    </row>
    <row r="1443" spans="1:5" x14ac:dyDescent="0.3">
      <c r="A1443" t="s">
        <v>4</v>
      </c>
      <c r="B1443" s="1" t="s">
        <v>13</v>
      </c>
      <c r="C1443" t="s">
        <v>12</v>
      </c>
      <c r="D1443" t="s">
        <v>6</v>
      </c>
      <c r="E1443" t="s">
        <v>21</v>
      </c>
    </row>
    <row r="1444" spans="1:5" x14ac:dyDescent="0.3">
      <c r="A1444" t="s">
        <v>4</v>
      </c>
      <c r="B1444" s="1" t="s">
        <v>13</v>
      </c>
      <c r="C1444" t="s">
        <v>10</v>
      </c>
      <c r="D1444" t="s">
        <v>7</v>
      </c>
      <c r="E1444" t="s">
        <v>21</v>
      </c>
    </row>
    <row r="1445" spans="1:5" x14ac:dyDescent="0.3">
      <c r="A1445" t="s">
        <v>4</v>
      </c>
      <c r="B1445" s="1" t="s">
        <v>13</v>
      </c>
      <c r="C1445" t="s">
        <v>12</v>
      </c>
      <c r="D1445" t="s">
        <v>8</v>
      </c>
      <c r="E1445" t="s">
        <v>21</v>
      </c>
    </row>
    <row r="1446" spans="1:5" x14ac:dyDescent="0.3">
      <c r="A1446" t="s">
        <v>4</v>
      </c>
      <c r="B1446" s="1" t="s">
        <v>13</v>
      </c>
      <c r="C1446" t="s">
        <v>12</v>
      </c>
      <c r="D1446" t="s">
        <v>9</v>
      </c>
      <c r="E1446" t="s">
        <v>21</v>
      </c>
    </row>
    <row r="1447" spans="1:5" x14ac:dyDescent="0.3">
      <c r="A1447" t="s">
        <v>4</v>
      </c>
      <c r="B1447" s="1" t="s">
        <v>13</v>
      </c>
      <c r="C1447" t="s">
        <v>12</v>
      </c>
      <c r="D1447" t="s">
        <v>5</v>
      </c>
      <c r="E1447" t="s">
        <v>21</v>
      </c>
    </row>
    <row r="1448" spans="1:5" x14ac:dyDescent="0.3">
      <c r="A1448" t="s">
        <v>4</v>
      </c>
      <c r="B1448" s="1" t="s">
        <v>13</v>
      </c>
      <c r="C1448" t="s">
        <v>12</v>
      </c>
      <c r="D1448" t="s">
        <v>6</v>
      </c>
      <c r="E1448" t="s">
        <v>21</v>
      </c>
    </row>
    <row r="1449" spans="1:5" x14ac:dyDescent="0.3">
      <c r="A1449" t="s">
        <v>4</v>
      </c>
      <c r="B1449" s="1" t="s">
        <v>13</v>
      </c>
      <c r="C1449" t="s">
        <v>10</v>
      </c>
      <c r="D1449" t="s">
        <v>7</v>
      </c>
      <c r="E1449" t="s">
        <v>21</v>
      </c>
    </row>
    <row r="1450" spans="1:5" x14ac:dyDescent="0.3">
      <c r="A1450" t="s">
        <v>4</v>
      </c>
      <c r="B1450" s="1" t="s">
        <v>13</v>
      </c>
      <c r="C1450" t="s">
        <v>12</v>
      </c>
      <c r="D1450" t="s">
        <v>8</v>
      </c>
      <c r="E1450" t="s">
        <v>21</v>
      </c>
    </row>
    <row r="1451" spans="1:5" x14ac:dyDescent="0.3">
      <c r="A1451" t="s">
        <v>4</v>
      </c>
      <c r="B1451" s="1" t="s">
        <v>13</v>
      </c>
      <c r="C1451" t="s">
        <v>12</v>
      </c>
      <c r="D1451" t="s">
        <v>9</v>
      </c>
      <c r="E1451" t="s">
        <v>21</v>
      </c>
    </row>
    <row r="1452" spans="1:5" x14ac:dyDescent="0.3">
      <c r="A1452" t="s">
        <v>4</v>
      </c>
      <c r="B1452" s="1" t="s">
        <v>13</v>
      </c>
      <c r="C1452" t="s">
        <v>12</v>
      </c>
      <c r="D1452" t="s">
        <v>5</v>
      </c>
      <c r="E1452" t="s">
        <v>21</v>
      </c>
    </row>
    <row r="1453" spans="1:5" x14ac:dyDescent="0.3">
      <c r="A1453" t="s">
        <v>4</v>
      </c>
      <c r="B1453" s="1" t="s">
        <v>13</v>
      </c>
      <c r="C1453" t="s">
        <v>12</v>
      </c>
      <c r="D1453" t="s">
        <v>6</v>
      </c>
      <c r="E1453" t="s">
        <v>21</v>
      </c>
    </row>
    <row r="1454" spans="1:5" x14ac:dyDescent="0.3">
      <c r="A1454" t="s">
        <v>4</v>
      </c>
      <c r="B1454" s="1" t="s">
        <v>13</v>
      </c>
      <c r="C1454" t="s">
        <v>10</v>
      </c>
      <c r="D1454" t="s">
        <v>7</v>
      </c>
      <c r="E1454" t="s">
        <v>21</v>
      </c>
    </row>
    <row r="1455" spans="1:5" x14ac:dyDescent="0.3">
      <c r="A1455" t="s">
        <v>4</v>
      </c>
      <c r="B1455" s="1" t="s">
        <v>13</v>
      </c>
      <c r="C1455" t="s">
        <v>12</v>
      </c>
      <c r="D1455" t="s">
        <v>8</v>
      </c>
      <c r="E1455" t="s">
        <v>21</v>
      </c>
    </row>
    <row r="1456" spans="1:5" x14ac:dyDescent="0.3">
      <c r="A1456" t="s">
        <v>4</v>
      </c>
      <c r="B1456" s="1" t="s">
        <v>13</v>
      </c>
      <c r="C1456" t="s">
        <v>12</v>
      </c>
      <c r="D1456" t="s">
        <v>9</v>
      </c>
      <c r="E1456" t="s">
        <v>21</v>
      </c>
    </row>
    <row r="1457" spans="1:5" x14ac:dyDescent="0.3">
      <c r="A1457" t="s">
        <v>4</v>
      </c>
      <c r="B1457" s="1" t="s">
        <v>13</v>
      </c>
      <c r="C1457" t="s">
        <v>12</v>
      </c>
      <c r="D1457" t="s">
        <v>5</v>
      </c>
      <c r="E1457" t="s">
        <v>21</v>
      </c>
    </row>
    <row r="1458" spans="1:5" x14ac:dyDescent="0.3">
      <c r="A1458" t="s">
        <v>4</v>
      </c>
      <c r="B1458" s="1" t="s">
        <v>13</v>
      </c>
      <c r="C1458" t="s">
        <v>12</v>
      </c>
      <c r="D1458" t="s">
        <v>6</v>
      </c>
      <c r="E1458" t="s">
        <v>21</v>
      </c>
    </row>
    <row r="1459" spans="1:5" x14ac:dyDescent="0.3">
      <c r="A1459" t="s">
        <v>4</v>
      </c>
      <c r="B1459" s="1" t="s">
        <v>13</v>
      </c>
      <c r="C1459" t="s">
        <v>10</v>
      </c>
      <c r="D1459" t="s">
        <v>7</v>
      </c>
      <c r="E1459" t="s">
        <v>21</v>
      </c>
    </row>
    <row r="1460" spans="1:5" x14ac:dyDescent="0.3">
      <c r="A1460" t="s">
        <v>4</v>
      </c>
      <c r="B1460" s="1" t="s">
        <v>13</v>
      </c>
      <c r="C1460" t="s">
        <v>12</v>
      </c>
      <c r="D1460" t="s">
        <v>8</v>
      </c>
      <c r="E1460" t="s">
        <v>21</v>
      </c>
    </row>
    <row r="1461" spans="1:5" x14ac:dyDescent="0.3">
      <c r="A1461" t="s">
        <v>4</v>
      </c>
      <c r="B1461" s="1" t="s">
        <v>13</v>
      </c>
      <c r="C1461" t="s">
        <v>12</v>
      </c>
      <c r="D1461" t="s">
        <v>9</v>
      </c>
      <c r="E1461" t="s">
        <v>21</v>
      </c>
    </row>
    <row r="1462" spans="1:5" x14ac:dyDescent="0.3">
      <c r="A1462" t="s">
        <v>4</v>
      </c>
      <c r="B1462" s="1" t="s">
        <v>13</v>
      </c>
      <c r="C1462" t="s">
        <v>12</v>
      </c>
      <c r="D1462" t="s">
        <v>5</v>
      </c>
      <c r="E1462" t="s">
        <v>21</v>
      </c>
    </row>
    <row r="1463" spans="1:5" x14ac:dyDescent="0.3">
      <c r="A1463" t="s">
        <v>4</v>
      </c>
      <c r="B1463" s="1" t="s">
        <v>13</v>
      </c>
      <c r="C1463" t="s">
        <v>12</v>
      </c>
      <c r="D1463" t="s">
        <v>6</v>
      </c>
      <c r="E1463" t="s">
        <v>21</v>
      </c>
    </row>
    <row r="1464" spans="1:5" x14ac:dyDescent="0.3">
      <c r="A1464" t="s">
        <v>4</v>
      </c>
      <c r="B1464" s="1" t="s">
        <v>13</v>
      </c>
      <c r="C1464" t="s">
        <v>10</v>
      </c>
      <c r="D1464" t="s">
        <v>7</v>
      </c>
      <c r="E1464" t="s">
        <v>21</v>
      </c>
    </row>
    <row r="1465" spans="1:5" x14ac:dyDescent="0.3">
      <c r="A1465" t="s">
        <v>4</v>
      </c>
      <c r="B1465" s="1" t="s">
        <v>13</v>
      </c>
      <c r="C1465" t="s">
        <v>12</v>
      </c>
      <c r="D1465" t="s">
        <v>8</v>
      </c>
      <c r="E1465" t="s">
        <v>21</v>
      </c>
    </row>
    <row r="1466" spans="1:5" x14ac:dyDescent="0.3">
      <c r="A1466" t="s">
        <v>4</v>
      </c>
      <c r="B1466" s="1" t="s">
        <v>13</v>
      </c>
      <c r="C1466" t="s">
        <v>12</v>
      </c>
      <c r="D1466" t="s">
        <v>9</v>
      </c>
      <c r="E1466" t="s">
        <v>21</v>
      </c>
    </row>
    <row r="1467" spans="1:5" x14ac:dyDescent="0.3">
      <c r="A1467" t="s">
        <v>4</v>
      </c>
      <c r="B1467" s="1" t="s">
        <v>13</v>
      </c>
      <c r="C1467" t="s">
        <v>12</v>
      </c>
      <c r="D1467" t="s">
        <v>5</v>
      </c>
      <c r="E1467" t="s">
        <v>21</v>
      </c>
    </row>
    <row r="1468" spans="1:5" x14ac:dyDescent="0.3">
      <c r="A1468" t="s">
        <v>4</v>
      </c>
      <c r="B1468" s="1" t="s">
        <v>13</v>
      </c>
      <c r="C1468" t="s">
        <v>12</v>
      </c>
      <c r="D1468" t="s">
        <v>6</v>
      </c>
      <c r="E1468" t="s">
        <v>21</v>
      </c>
    </row>
    <row r="1469" spans="1:5" x14ac:dyDescent="0.3">
      <c r="A1469" t="s">
        <v>4</v>
      </c>
      <c r="B1469" s="1" t="s">
        <v>13</v>
      </c>
      <c r="C1469" t="s">
        <v>10</v>
      </c>
      <c r="D1469" t="s">
        <v>7</v>
      </c>
      <c r="E1469" t="s">
        <v>21</v>
      </c>
    </row>
    <row r="1470" spans="1:5" x14ac:dyDescent="0.3">
      <c r="A1470" t="s">
        <v>4</v>
      </c>
      <c r="B1470" s="1" t="s">
        <v>13</v>
      </c>
      <c r="C1470" t="s">
        <v>12</v>
      </c>
      <c r="D1470" t="s">
        <v>8</v>
      </c>
      <c r="E1470" t="s">
        <v>21</v>
      </c>
    </row>
    <row r="1471" spans="1:5" x14ac:dyDescent="0.3">
      <c r="A1471" t="s">
        <v>4</v>
      </c>
      <c r="B1471" s="1" t="s">
        <v>13</v>
      </c>
      <c r="C1471" t="s">
        <v>12</v>
      </c>
      <c r="D1471" t="s">
        <v>9</v>
      </c>
      <c r="E1471" t="s">
        <v>21</v>
      </c>
    </row>
    <row r="1472" spans="1:5" x14ac:dyDescent="0.3">
      <c r="A1472" t="s">
        <v>4</v>
      </c>
      <c r="B1472" s="1" t="s">
        <v>13</v>
      </c>
      <c r="C1472" t="s">
        <v>12</v>
      </c>
      <c r="D1472" t="s">
        <v>5</v>
      </c>
      <c r="E1472" t="s">
        <v>21</v>
      </c>
    </row>
    <row r="1473" spans="1:5" x14ac:dyDescent="0.3">
      <c r="A1473" t="s">
        <v>4</v>
      </c>
      <c r="B1473" s="1" t="s">
        <v>13</v>
      </c>
      <c r="C1473" t="s">
        <v>12</v>
      </c>
      <c r="D1473" t="s">
        <v>6</v>
      </c>
      <c r="E1473" t="s">
        <v>21</v>
      </c>
    </row>
    <row r="1474" spans="1:5" x14ac:dyDescent="0.3">
      <c r="A1474" t="s">
        <v>4</v>
      </c>
      <c r="B1474" s="1" t="s">
        <v>13</v>
      </c>
      <c r="C1474" t="s">
        <v>10</v>
      </c>
      <c r="D1474" t="s">
        <v>7</v>
      </c>
      <c r="E1474" t="s">
        <v>21</v>
      </c>
    </row>
    <row r="1475" spans="1:5" x14ac:dyDescent="0.3">
      <c r="A1475" t="s">
        <v>4</v>
      </c>
      <c r="B1475" s="1" t="s">
        <v>13</v>
      </c>
      <c r="C1475" t="s">
        <v>12</v>
      </c>
      <c r="D1475" t="s">
        <v>8</v>
      </c>
      <c r="E1475" t="s">
        <v>21</v>
      </c>
    </row>
    <row r="1476" spans="1:5" x14ac:dyDescent="0.3">
      <c r="A1476" t="s">
        <v>4</v>
      </c>
      <c r="B1476" s="1" t="s">
        <v>13</v>
      </c>
      <c r="C1476" t="s">
        <v>12</v>
      </c>
      <c r="D1476" t="s">
        <v>9</v>
      </c>
      <c r="E1476" t="s">
        <v>21</v>
      </c>
    </row>
    <row r="1477" spans="1:5" x14ac:dyDescent="0.3">
      <c r="A1477" t="s">
        <v>4</v>
      </c>
      <c r="B1477" s="1" t="s">
        <v>13</v>
      </c>
      <c r="C1477" t="s">
        <v>12</v>
      </c>
      <c r="D1477" t="s">
        <v>5</v>
      </c>
      <c r="E1477" t="s">
        <v>21</v>
      </c>
    </row>
    <row r="1478" spans="1:5" x14ac:dyDescent="0.3">
      <c r="A1478" t="s">
        <v>4</v>
      </c>
      <c r="B1478" s="1" t="s">
        <v>13</v>
      </c>
      <c r="C1478" t="s">
        <v>12</v>
      </c>
      <c r="D1478" t="s">
        <v>6</v>
      </c>
      <c r="E1478" t="s">
        <v>21</v>
      </c>
    </row>
    <row r="1479" spans="1:5" x14ac:dyDescent="0.3">
      <c r="A1479" t="s">
        <v>4</v>
      </c>
      <c r="B1479" s="1" t="s">
        <v>13</v>
      </c>
      <c r="C1479" t="s">
        <v>10</v>
      </c>
      <c r="D1479" t="s">
        <v>7</v>
      </c>
      <c r="E1479" t="s">
        <v>21</v>
      </c>
    </row>
    <row r="1480" spans="1:5" x14ac:dyDescent="0.3">
      <c r="A1480" t="s">
        <v>4</v>
      </c>
      <c r="B1480" s="1" t="s">
        <v>13</v>
      </c>
      <c r="C1480" t="s">
        <v>10</v>
      </c>
      <c r="D1480" t="s">
        <v>8</v>
      </c>
      <c r="E1480" t="s">
        <v>21</v>
      </c>
    </row>
    <row r="1481" spans="1:5" x14ac:dyDescent="0.3">
      <c r="A1481" t="s">
        <v>4</v>
      </c>
      <c r="B1481" s="1" t="s">
        <v>13</v>
      </c>
      <c r="C1481" t="s">
        <v>11</v>
      </c>
      <c r="D1481" t="s">
        <v>9</v>
      </c>
      <c r="E1481" t="s">
        <v>21</v>
      </c>
    </row>
    <row r="1482" spans="1:5" x14ac:dyDescent="0.3">
      <c r="A1482" t="s">
        <v>4</v>
      </c>
      <c r="B1482" s="1" t="s">
        <v>13</v>
      </c>
      <c r="C1482" t="s">
        <v>12</v>
      </c>
      <c r="D1482" t="s">
        <v>5</v>
      </c>
      <c r="E1482" t="s">
        <v>21</v>
      </c>
    </row>
    <row r="1483" spans="1:5" x14ac:dyDescent="0.3">
      <c r="A1483" t="s">
        <v>4</v>
      </c>
      <c r="B1483" s="1" t="s">
        <v>13</v>
      </c>
      <c r="C1483" t="s">
        <v>12</v>
      </c>
      <c r="D1483" t="s">
        <v>6</v>
      </c>
      <c r="E1483" t="s">
        <v>21</v>
      </c>
    </row>
    <row r="1484" spans="1:5" x14ac:dyDescent="0.3">
      <c r="A1484" t="s">
        <v>4</v>
      </c>
      <c r="B1484" s="1" t="s">
        <v>13</v>
      </c>
      <c r="C1484" t="s">
        <v>10</v>
      </c>
      <c r="D1484" t="s">
        <v>7</v>
      </c>
      <c r="E1484" t="s">
        <v>21</v>
      </c>
    </row>
    <row r="1485" spans="1:5" x14ac:dyDescent="0.3">
      <c r="A1485" t="s">
        <v>4</v>
      </c>
      <c r="B1485" s="1" t="s">
        <v>13</v>
      </c>
      <c r="C1485" t="s">
        <v>10</v>
      </c>
      <c r="D1485" t="s">
        <v>8</v>
      </c>
      <c r="E1485" t="s">
        <v>21</v>
      </c>
    </row>
    <row r="1486" spans="1:5" x14ac:dyDescent="0.3">
      <c r="A1486" t="s">
        <v>4</v>
      </c>
      <c r="B1486" s="1" t="s">
        <v>13</v>
      </c>
      <c r="C1486" t="s">
        <v>12</v>
      </c>
      <c r="D1486" t="s">
        <v>9</v>
      </c>
      <c r="E1486" t="s">
        <v>21</v>
      </c>
    </row>
    <row r="1487" spans="1:5" x14ac:dyDescent="0.3">
      <c r="A1487" t="s">
        <v>4</v>
      </c>
      <c r="B1487" s="1" t="s">
        <v>13</v>
      </c>
      <c r="C1487" t="s">
        <v>12</v>
      </c>
      <c r="D1487" t="s">
        <v>5</v>
      </c>
      <c r="E1487" t="s">
        <v>21</v>
      </c>
    </row>
    <row r="1488" spans="1:5" x14ac:dyDescent="0.3">
      <c r="A1488" t="s">
        <v>4</v>
      </c>
      <c r="B1488" s="1" t="s">
        <v>13</v>
      </c>
      <c r="C1488" t="s">
        <v>12</v>
      </c>
      <c r="D1488" t="s">
        <v>6</v>
      </c>
      <c r="E1488" t="s">
        <v>21</v>
      </c>
    </row>
    <row r="1489" spans="1:5" x14ac:dyDescent="0.3">
      <c r="A1489" t="s">
        <v>4</v>
      </c>
      <c r="B1489" s="1" t="s">
        <v>13</v>
      </c>
      <c r="C1489" t="s">
        <v>10</v>
      </c>
      <c r="D1489" t="s">
        <v>7</v>
      </c>
      <c r="E1489" t="s">
        <v>21</v>
      </c>
    </row>
    <row r="1490" spans="1:5" x14ac:dyDescent="0.3">
      <c r="A1490" t="s">
        <v>4</v>
      </c>
      <c r="B1490" s="1" t="s">
        <v>13</v>
      </c>
      <c r="C1490" t="s">
        <v>10</v>
      </c>
      <c r="D1490" t="s">
        <v>8</v>
      </c>
      <c r="E1490" t="s">
        <v>21</v>
      </c>
    </row>
    <row r="1491" spans="1:5" x14ac:dyDescent="0.3">
      <c r="A1491" t="s">
        <v>4</v>
      </c>
      <c r="B1491" s="1" t="s">
        <v>13</v>
      </c>
      <c r="C1491" t="s">
        <v>11</v>
      </c>
      <c r="D1491" t="s">
        <v>9</v>
      </c>
      <c r="E1491" t="s">
        <v>21</v>
      </c>
    </row>
    <row r="1492" spans="1:5" x14ac:dyDescent="0.3">
      <c r="A1492" t="s">
        <v>4</v>
      </c>
      <c r="B1492" s="1" t="s">
        <v>13</v>
      </c>
      <c r="C1492" t="s">
        <v>12</v>
      </c>
      <c r="D1492" t="s">
        <v>5</v>
      </c>
      <c r="E1492" t="s">
        <v>21</v>
      </c>
    </row>
    <row r="1493" spans="1:5" x14ac:dyDescent="0.3">
      <c r="A1493" t="s">
        <v>4</v>
      </c>
      <c r="B1493" s="1" t="s">
        <v>13</v>
      </c>
      <c r="C1493" t="s">
        <v>12</v>
      </c>
      <c r="D1493" t="s">
        <v>6</v>
      </c>
      <c r="E1493" t="s">
        <v>21</v>
      </c>
    </row>
    <row r="1494" spans="1:5" x14ac:dyDescent="0.3">
      <c r="A1494" t="s">
        <v>4</v>
      </c>
      <c r="B1494" s="1" t="s">
        <v>13</v>
      </c>
      <c r="C1494" t="s">
        <v>10</v>
      </c>
      <c r="D1494" t="s">
        <v>7</v>
      </c>
      <c r="E1494" t="s">
        <v>21</v>
      </c>
    </row>
    <row r="1495" spans="1:5" x14ac:dyDescent="0.3">
      <c r="A1495" t="s">
        <v>4</v>
      </c>
      <c r="B1495" s="1" t="s">
        <v>13</v>
      </c>
      <c r="C1495" t="s">
        <v>12</v>
      </c>
      <c r="D1495" t="s">
        <v>8</v>
      </c>
      <c r="E1495" t="s">
        <v>21</v>
      </c>
    </row>
    <row r="1496" spans="1:5" x14ac:dyDescent="0.3">
      <c r="A1496" t="s">
        <v>4</v>
      </c>
      <c r="B1496" s="1" t="s">
        <v>13</v>
      </c>
      <c r="C1496" t="s">
        <v>12</v>
      </c>
      <c r="D1496" t="s">
        <v>9</v>
      </c>
      <c r="E1496" t="s">
        <v>21</v>
      </c>
    </row>
    <row r="1497" spans="1:5" x14ac:dyDescent="0.3">
      <c r="A1497" t="s">
        <v>4</v>
      </c>
      <c r="B1497" s="1" t="s">
        <v>13</v>
      </c>
      <c r="C1497" t="s">
        <v>12</v>
      </c>
      <c r="D1497" t="s">
        <v>5</v>
      </c>
      <c r="E1497" t="s">
        <v>21</v>
      </c>
    </row>
    <row r="1498" spans="1:5" x14ac:dyDescent="0.3">
      <c r="A1498" t="s">
        <v>4</v>
      </c>
      <c r="B1498" s="1" t="s">
        <v>13</v>
      </c>
      <c r="C1498" t="s">
        <v>12</v>
      </c>
      <c r="D1498" t="s">
        <v>6</v>
      </c>
      <c r="E1498" t="s">
        <v>21</v>
      </c>
    </row>
    <row r="1499" spans="1:5" x14ac:dyDescent="0.3">
      <c r="A1499" t="s">
        <v>4</v>
      </c>
      <c r="B1499" s="1" t="s">
        <v>13</v>
      </c>
      <c r="C1499" t="s">
        <v>10</v>
      </c>
      <c r="D1499" t="s">
        <v>7</v>
      </c>
      <c r="E1499" t="s">
        <v>21</v>
      </c>
    </row>
    <row r="1500" spans="1:5" x14ac:dyDescent="0.3">
      <c r="A1500" t="s">
        <v>4</v>
      </c>
      <c r="B1500" s="1" t="s">
        <v>13</v>
      </c>
      <c r="C1500" t="s">
        <v>10</v>
      </c>
      <c r="D1500" t="s">
        <v>8</v>
      </c>
      <c r="E1500" t="s">
        <v>21</v>
      </c>
    </row>
    <row r="1501" spans="1:5" x14ac:dyDescent="0.3">
      <c r="A1501" t="s">
        <v>4</v>
      </c>
      <c r="B1501" s="1" t="s">
        <v>13</v>
      </c>
      <c r="C1501" t="s">
        <v>12</v>
      </c>
      <c r="D1501" t="s">
        <v>9</v>
      </c>
      <c r="E1501" t="s">
        <v>21</v>
      </c>
    </row>
    <row r="1502" spans="1:5" x14ac:dyDescent="0.3">
      <c r="A1502" t="s">
        <v>4</v>
      </c>
      <c r="B1502" s="1" t="s">
        <v>13</v>
      </c>
      <c r="C1502" t="s">
        <v>12</v>
      </c>
      <c r="D1502" t="s">
        <v>5</v>
      </c>
      <c r="E1502" t="s">
        <v>21</v>
      </c>
    </row>
    <row r="1503" spans="1:5" x14ac:dyDescent="0.3">
      <c r="A1503" t="s">
        <v>4</v>
      </c>
      <c r="B1503" s="1" t="s">
        <v>13</v>
      </c>
      <c r="C1503" t="s">
        <v>12</v>
      </c>
      <c r="D1503" t="s">
        <v>6</v>
      </c>
      <c r="E1503" t="s">
        <v>21</v>
      </c>
    </row>
    <row r="1504" spans="1:5" x14ac:dyDescent="0.3">
      <c r="A1504" t="s">
        <v>4</v>
      </c>
      <c r="B1504" s="1" t="s">
        <v>13</v>
      </c>
      <c r="C1504" t="s">
        <v>10</v>
      </c>
      <c r="D1504" t="s">
        <v>7</v>
      </c>
      <c r="E1504" t="s">
        <v>21</v>
      </c>
    </row>
    <row r="1505" spans="1:5" x14ac:dyDescent="0.3">
      <c r="A1505" t="s">
        <v>4</v>
      </c>
      <c r="B1505" s="1" t="s">
        <v>13</v>
      </c>
      <c r="C1505" t="s">
        <v>10</v>
      </c>
      <c r="D1505" t="s">
        <v>8</v>
      </c>
      <c r="E1505" t="s">
        <v>21</v>
      </c>
    </row>
    <row r="1506" spans="1:5" x14ac:dyDescent="0.3">
      <c r="A1506" t="s">
        <v>4</v>
      </c>
      <c r="B1506" s="1" t="s">
        <v>13</v>
      </c>
      <c r="C1506" t="s">
        <v>12</v>
      </c>
      <c r="D1506" t="s">
        <v>9</v>
      </c>
      <c r="E1506" t="s">
        <v>21</v>
      </c>
    </row>
    <row r="1507" spans="1:5" x14ac:dyDescent="0.3">
      <c r="A1507" t="s">
        <v>4</v>
      </c>
      <c r="B1507" s="1" t="s">
        <v>13</v>
      </c>
      <c r="C1507" t="s">
        <v>12</v>
      </c>
      <c r="D1507" t="s">
        <v>5</v>
      </c>
      <c r="E1507" t="s">
        <v>21</v>
      </c>
    </row>
    <row r="1508" spans="1:5" x14ac:dyDescent="0.3">
      <c r="A1508" t="s">
        <v>4</v>
      </c>
      <c r="B1508" s="1" t="s">
        <v>13</v>
      </c>
      <c r="C1508" t="s">
        <v>12</v>
      </c>
      <c r="D1508" t="s">
        <v>6</v>
      </c>
      <c r="E1508" t="s">
        <v>21</v>
      </c>
    </row>
    <row r="1509" spans="1:5" x14ac:dyDescent="0.3">
      <c r="A1509" t="s">
        <v>4</v>
      </c>
      <c r="B1509" s="1" t="s">
        <v>13</v>
      </c>
      <c r="C1509" t="s">
        <v>10</v>
      </c>
      <c r="D1509" t="s">
        <v>7</v>
      </c>
      <c r="E1509" t="s">
        <v>21</v>
      </c>
    </row>
    <row r="1510" spans="1:5" x14ac:dyDescent="0.3">
      <c r="A1510" t="s">
        <v>4</v>
      </c>
      <c r="B1510" s="1" t="s">
        <v>13</v>
      </c>
      <c r="C1510" t="s">
        <v>10</v>
      </c>
      <c r="D1510" t="s">
        <v>8</v>
      </c>
      <c r="E1510" t="s">
        <v>21</v>
      </c>
    </row>
    <row r="1511" spans="1:5" x14ac:dyDescent="0.3">
      <c r="A1511" t="s">
        <v>4</v>
      </c>
      <c r="B1511" s="1" t="s">
        <v>13</v>
      </c>
      <c r="C1511" t="s">
        <v>12</v>
      </c>
      <c r="D1511" t="s">
        <v>9</v>
      </c>
      <c r="E1511" t="s">
        <v>21</v>
      </c>
    </row>
    <row r="1512" spans="1:5" x14ac:dyDescent="0.3">
      <c r="A1512" t="s">
        <v>4</v>
      </c>
      <c r="B1512" s="1" t="s">
        <v>13</v>
      </c>
      <c r="C1512" t="s">
        <v>12</v>
      </c>
      <c r="D1512" t="s">
        <v>5</v>
      </c>
      <c r="E1512" t="s">
        <v>21</v>
      </c>
    </row>
    <row r="1513" spans="1:5" x14ac:dyDescent="0.3">
      <c r="A1513" t="s">
        <v>4</v>
      </c>
      <c r="B1513" s="1" t="s">
        <v>13</v>
      </c>
      <c r="C1513" t="s">
        <v>12</v>
      </c>
      <c r="D1513" t="s">
        <v>6</v>
      </c>
      <c r="E1513" t="s">
        <v>21</v>
      </c>
    </row>
    <row r="1514" spans="1:5" x14ac:dyDescent="0.3">
      <c r="A1514" t="s">
        <v>4</v>
      </c>
      <c r="B1514" s="1" t="s">
        <v>13</v>
      </c>
      <c r="C1514" t="s">
        <v>10</v>
      </c>
      <c r="D1514" t="s">
        <v>7</v>
      </c>
      <c r="E1514" t="s">
        <v>21</v>
      </c>
    </row>
    <row r="1515" spans="1:5" x14ac:dyDescent="0.3">
      <c r="A1515" t="s">
        <v>4</v>
      </c>
      <c r="B1515" s="1" t="s">
        <v>13</v>
      </c>
      <c r="C1515" t="s">
        <v>12</v>
      </c>
      <c r="D1515" t="s">
        <v>8</v>
      </c>
      <c r="E1515" t="s">
        <v>21</v>
      </c>
    </row>
    <row r="1516" spans="1:5" x14ac:dyDescent="0.3">
      <c r="A1516" t="s">
        <v>4</v>
      </c>
      <c r="B1516" s="1" t="s">
        <v>13</v>
      </c>
      <c r="C1516" t="s">
        <v>12</v>
      </c>
      <c r="D1516" t="s">
        <v>9</v>
      </c>
      <c r="E1516" t="s">
        <v>21</v>
      </c>
    </row>
    <row r="1517" spans="1:5" x14ac:dyDescent="0.3">
      <c r="A1517" t="s">
        <v>4</v>
      </c>
      <c r="B1517" s="1" t="s">
        <v>13</v>
      </c>
      <c r="C1517" t="s">
        <v>12</v>
      </c>
      <c r="D1517" t="s">
        <v>5</v>
      </c>
      <c r="E1517" t="s">
        <v>21</v>
      </c>
    </row>
    <row r="1518" spans="1:5" x14ac:dyDescent="0.3">
      <c r="A1518" t="s">
        <v>4</v>
      </c>
      <c r="B1518" s="1" t="s">
        <v>13</v>
      </c>
      <c r="C1518" t="s">
        <v>12</v>
      </c>
      <c r="D1518" t="s">
        <v>6</v>
      </c>
      <c r="E1518" t="s">
        <v>21</v>
      </c>
    </row>
    <row r="1519" spans="1:5" x14ac:dyDescent="0.3">
      <c r="A1519" t="s">
        <v>4</v>
      </c>
      <c r="B1519" s="1" t="s">
        <v>13</v>
      </c>
      <c r="C1519" t="s">
        <v>10</v>
      </c>
      <c r="D1519" t="s">
        <v>7</v>
      </c>
      <c r="E1519" t="s">
        <v>21</v>
      </c>
    </row>
    <row r="1520" spans="1:5" x14ac:dyDescent="0.3">
      <c r="A1520" t="s">
        <v>4</v>
      </c>
      <c r="B1520" s="1" t="s">
        <v>13</v>
      </c>
      <c r="C1520" t="s">
        <v>12</v>
      </c>
      <c r="D1520" t="s">
        <v>8</v>
      </c>
      <c r="E1520" t="s">
        <v>21</v>
      </c>
    </row>
    <row r="1521" spans="1:5" x14ac:dyDescent="0.3">
      <c r="A1521" t="s">
        <v>4</v>
      </c>
      <c r="B1521" s="1" t="s">
        <v>13</v>
      </c>
      <c r="C1521" t="s">
        <v>12</v>
      </c>
      <c r="D1521" t="s">
        <v>9</v>
      </c>
      <c r="E1521" t="s">
        <v>21</v>
      </c>
    </row>
    <row r="1522" spans="1:5" x14ac:dyDescent="0.3">
      <c r="A1522" t="s">
        <v>4</v>
      </c>
      <c r="B1522" s="1" t="s">
        <v>13</v>
      </c>
      <c r="C1522" t="s">
        <v>12</v>
      </c>
      <c r="D1522" t="s">
        <v>5</v>
      </c>
      <c r="E1522" t="s">
        <v>21</v>
      </c>
    </row>
    <row r="1523" spans="1:5" x14ac:dyDescent="0.3">
      <c r="A1523" t="s">
        <v>4</v>
      </c>
      <c r="B1523" s="1" t="s">
        <v>13</v>
      </c>
      <c r="C1523" t="s">
        <v>12</v>
      </c>
      <c r="D1523" t="s">
        <v>6</v>
      </c>
      <c r="E1523" t="s">
        <v>21</v>
      </c>
    </row>
    <row r="1524" spans="1:5" x14ac:dyDescent="0.3">
      <c r="A1524" t="s">
        <v>4</v>
      </c>
      <c r="B1524" s="1" t="s">
        <v>13</v>
      </c>
      <c r="C1524" t="s">
        <v>10</v>
      </c>
      <c r="D1524" t="s">
        <v>7</v>
      </c>
      <c r="E1524" t="s">
        <v>21</v>
      </c>
    </row>
    <row r="1525" spans="1:5" x14ac:dyDescent="0.3">
      <c r="A1525" t="s">
        <v>4</v>
      </c>
      <c r="B1525" s="1" t="s">
        <v>13</v>
      </c>
      <c r="C1525" t="s">
        <v>12</v>
      </c>
      <c r="D1525" t="s">
        <v>8</v>
      </c>
      <c r="E1525" t="s">
        <v>21</v>
      </c>
    </row>
    <row r="1526" spans="1:5" x14ac:dyDescent="0.3">
      <c r="A1526" t="s">
        <v>4</v>
      </c>
      <c r="B1526" s="1" t="s">
        <v>13</v>
      </c>
      <c r="C1526" t="s">
        <v>12</v>
      </c>
      <c r="D1526" t="s">
        <v>9</v>
      </c>
      <c r="E1526" t="s">
        <v>21</v>
      </c>
    </row>
    <row r="1527" spans="1:5" x14ac:dyDescent="0.3">
      <c r="A1527" t="s">
        <v>4</v>
      </c>
      <c r="B1527" s="1" t="s">
        <v>13</v>
      </c>
      <c r="C1527" t="s">
        <v>12</v>
      </c>
      <c r="D1527" t="s">
        <v>5</v>
      </c>
      <c r="E1527" t="s">
        <v>21</v>
      </c>
    </row>
    <row r="1528" spans="1:5" x14ac:dyDescent="0.3">
      <c r="A1528" t="s">
        <v>4</v>
      </c>
      <c r="B1528" s="1" t="s">
        <v>13</v>
      </c>
      <c r="C1528" t="s">
        <v>12</v>
      </c>
      <c r="D1528" t="s">
        <v>6</v>
      </c>
      <c r="E1528" t="s">
        <v>21</v>
      </c>
    </row>
    <row r="1529" spans="1:5" x14ac:dyDescent="0.3">
      <c r="A1529" t="s">
        <v>4</v>
      </c>
      <c r="B1529" s="1" t="s">
        <v>13</v>
      </c>
      <c r="C1529" t="s">
        <v>10</v>
      </c>
      <c r="D1529" t="s">
        <v>7</v>
      </c>
      <c r="E1529" t="s">
        <v>21</v>
      </c>
    </row>
    <row r="1530" spans="1:5" x14ac:dyDescent="0.3">
      <c r="A1530" t="s">
        <v>4</v>
      </c>
      <c r="B1530" s="1" t="s">
        <v>13</v>
      </c>
      <c r="C1530" t="s">
        <v>12</v>
      </c>
      <c r="D1530" t="s">
        <v>8</v>
      </c>
      <c r="E1530" t="s">
        <v>21</v>
      </c>
    </row>
    <row r="1531" spans="1:5" x14ac:dyDescent="0.3">
      <c r="A1531" t="s">
        <v>4</v>
      </c>
      <c r="B1531" s="1" t="s">
        <v>13</v>
      </c>
      <c r="C1531" t="s">
        <v>12</v>
      </c>
      <c r="D1531" t="s">
        <v>9</v>
      </c>
      <c r="E1531" t="s">
        <v>21</v>
      </c>
    </row>
    <row r="1532" spans="1:5" x14ac:dyDescent="0.3">
      <c r="A1532" t="s">
        <v>4</v>
      </c>
      <c r="B1532" s="1" t="s">
        <v>13</v>
      </c>
      <c r="C1532" t="s">
        <v>12</v>
      </c>
      <c r="D1532" t="s">
        <v>5</v>
      </c>
      <c r="E1532" t="s">
        <v>21</v>
      </c>
    </row>
    <row r="1533" spans="1:5" x14ac:dyDescent="0.3">
      <c r="A1533" t="s">
        <v>4</v>
      </c>
      <c r="B1533" s="1" t="s">
        <v>13</v>
      </c>
      <c r="C1533" t="s">
        <v>12</v>
      </c>
      <c r="D1533" t="s">
        <v>6</v>
      </c>
      <c r="E1533" t="s">
        <v>21</v>
      </c>
    </row>
    <row r="1534" spans="1:5" x14ac:dyDescent="0.3">
      <c r="A1534" t="s">
        <v>4</v>
      </c>
      <c r="B1534" s="1" t="s">
        <v>13</v>
      </c>
      <c r="C1534" t="s">
        <v>10</v>
      </c>
      <c r="D1534" t="s">
        <v>7</v>
      </c>
      <c r="E1534" t="s">
        <v>21</v>
      </c>
    </row>
    <row r="1535" spans="1:5" x14ac:dyDescent="0.3">
      <c r="A1535" t="s">
        <v>4</v>
      </c>
      <c r="B1535" s="1" t="s">
        <v>13</v>
      </c>
      <c r="C1535" t="s">
        <v>12</v>
      </c>
      <c r="D1535" t="s">
        <v>8</v>
      </c>
      <c r="E1535" t="s">
        <v>21</v>
      </c>
    </row>
    <row r="1536" spans="1:5" x14ac:dyDescent="0.3">
      <c r="A1536" t="s">
        <v>4</v>
      </c>
      <c r="B1536" s="1" t="s">
        <v>13</v>
      </c>
      <c r="C1536" t="s">
        <v>12</v>
      </c>
      <c r="D1536" t="s">
        <v>9</v>
      </c>
      <c r="E1536" t="s">
        <v>21</v>
      </c>
    </row>
    <row r="1537" spans="1:5" x14ac:dyDescent="0.3">
      <c r="A1537" t="s">
        <v>4</v>
      </c>
      <c r="B1537" s="1" t="s">
        <v>13</v>
      </c>
      <c r="C1537" t="s">
        <v>12</v>
      </c>
      <c r="D1537" t="s">
        <v>5</v>
      </c>
      <c r="E1537" t="s">
        <v>21</v>
      </c>
    </row>
    <row r="1538" spans="1:5" x14ac:dyDescent="0.3">
      <c r="A1538" t="s">
        <v>4</v>
      </c>
      <c r="B1538" s="1" t="s">
        <v>13</v>
      </c>
      <c r="C1538" t="s">
        <v>12</v>
      </c>
      <c r="D1538" t="s">
        <v>6</v>
      </c>
      <c r="E1538" t="s">
        <v>21</v>
      </c>
    </row>
    <row r="1539" spans="1:5" x14ac:dyDescent="0.3">
      <c r="A1539" t="s">
        <v>4</v>
      </c>
      <c r="B1539" s="1" t="s">
        <v>13</v>
      </c>
      <c r="C1539" t="s">
        <v>10</v>
      </c>
      <c r="D1539" t="s">
        <v>7</v>
      </c>
      <c r="E1539" t="s">
        <v>21</v>
      </c>
    </row>
    <row r="1540" spans="1:5" x14ac:dyDescent="0.3">
      <c r="A1540" t="s">
        <v>4</v>
      </c>
      <c r="B1540" s="1" t="s">
        <v>13</v>
      </c>
      <c r="C1540" t="s">
        <v>12</v>
      </c>
      <c r="D1540" t="s">
        <v>8</v>
      </c>
      <c r="E1540" t="s">
        <v>21</v>
      </c>
    </row>
    <row r="1541" spans="1:5" x14ac:dyDescent="0.3">
      <c r="A1541" t="s">
        <v>4</v>
      </c>
      <c r="B1541" s="1" t="s">
        <v>13</v>
      </c>
      <c r="C1541" t="s">
        <v>12</v>
      </c>
      <c r="D1541" t="s">
        <v>9</v>
      </c>
      <c r="E1541" t="s">
        <v>21</v>
      </c>
    </row>
    <row r="1542" spans="1:5" x14ac:dyDescent="0.3">
      <c r="A1542" t="s">
        <v>4</v>
      </c>
      <c r="B1542" s="1" t="s">
        <v>13</v>
      </c>
      <c r="C1542" t="s">
        <v>12</v>
      </c>
      <c r="D1542" t="s">
        <v>5</v>
      </c>
      <c r="E1542" t="s">
        <v>21</v>
      </c>
    </row>
    <row r="1543" spans="1:5" x14ac:dyDescent="0.3">
      <c r="A1543" t="s">
        <v>4</v>
      </c>
      <c r="B1543" s="1" t="s">
        <v>13</v>
      </c>
      <c r="C1543" t="s">
        <v>12</v>
      </c>
      <c r="D1543" t="s">
        <v>6</v>
      </c>
      <c r="E1543" t="s">
        <v>21</v>
      </c>
    </row>
    <row r="1544" spans="1:5" x14ac:dyDescent="0.3">
      <c r="A1544" t="s">
        <v>4</v>
      </c>
      <c r="B1544" s="1" t="s">
        <v>13</v>
      </c>
      <c r="C1544" t="s">
        <v>10</v>
      </c>
      <c r="D1544" t="s">
        <v>7</v>
      </c>
      <c r="E1544" t="s">
        <v>21</v>
      </c>
    </row>
    <row r="1545" spans="1:5" x14ac:dyDescent="0.3">
      <c r="A1545" t="s">
        <v>4</v>
      </c>
      <c r="B1545" s="1" t="s">
        <v>13</v>
      </c>
      <c r="C1545" t="s">
        <v>12</v>
      </c>
      <c r="D1545" t="s">
        <v>8</v>
      </c>
      <c r="E1545" t="s">
        <v>21</v>
      </c>
    </row>
    <row r="1546" spans="1:5" x14ac:dyDescent="0.3">
      <c r="A1546" t="s">
        <v>4</v>
      </c>
      <c r="B1546" s="1" t="s">
        <v>13</v>
      </c>
      <c r="C1546" t="s">
        <v>12</v>
      </c>
      <c r="D1546" t="s">
        <v>9</v>
      </c>
      <c r="E1546" t="s">
        <v>21</v>
      </c>
    </row>
    <row r="1547" spans="1:5" x14ac:dyDescent="0.3">
      <c r="A1547" t="s">
        <v>4</v>
      </c>
      <c r="B1547" s="1" t="s">
        <v>13</v>
      </c>
      <c r="C1547" t="s">
        <v>12</v>
      </c>
      <c r="D1547" t="s">
        <v>5</v>
      </c>
      <c r="E1547" t="s">
        <v>21</v>
      </c>
    </row>
    <row r="1548" spans="1:5" x14ac:dyDescent="0.3">
      <c r="A1548" t="s">
        <v>4</v>
      </c>
      <c r="B1548" s="1" t="s">
        <v>13</v>
      </c>
      <c r="C1548" t="s">
        <v>12</v>
      </c>
      <c r="D1548" t="s">
        <v>6</v>
      </c>
      <c r="E1548" t="s">
        <v>21</v>
      </c>
    </row>
    <row r="1549" spans="1:5" x14ac:dyDescent="0.3">
      <c r="A1549" t="s">
        <v>4</v>
      </c>
      <c r="B1549" s="1" t="s">
        <v>13</v>
      </c>
      <c r="C1549" t="s">
        <v>10</v>
      </c>
      <c r="D1549" t="s">
        <v>7</v>
      </c>
      <c r="E1549" t="s">
        <v>21</v>
      </c>
    </row>
    <row r="1550" spans="1:5" x14ac:dyDescent="0.3">
      <c r="A1550" t="s">
        <v>4</v>
      </c>
      <c r="B1550" s="1" t="s">
        <v>13</v>
      </c>
      <c r="C1550" t="s">
        <v>12</v>
      </c>
      <c r="D1550" t="s">
        <v>8</v>
      </c>
      <c r="E1550" t="s">
        <v>21</v>
      </c>
    </row>
    <row r="1551" spans="1:5" x14ac:dyDescent="0.3">
      <c r="A1551" t="s">
        <v>4</v>
      </c>
      <c r="B1551" s="1" t="s">
        <v>13</v>
      </c>
      <c r="C1551" t="s">
        <v>12</v>
      </c>
      <c r="D1551" t="s">
        <v>9</v>
      </c>
      <c r="E1551" t="s">
        <v>21</v>
      </c>
    </row>
    <row r="1552" spans="1:5" x14ac:dyDescent="0.3">
      <c r="A1552" t="s">
        <v>4</v>
      </c>
      <c r="B1552" s="1" t="s">
        <v>13</v>
      </c>
      <c r="C1552" t="s">
        <v>12</v>
      </c>
      <c r="D1552" t="s">
        <v>5</v>
      </c>
      <c r="E1552" t="s">
        <v>21</v>
      </c>
    </row>
    <row r="1553" spans="1:5" x14ac:dyDescent="0.3">
      <c r="A1553" t="s">
        <v>4</v>
      </c>
      <c r="B1553" s="1" t="s">
        <v>13</v>
      </c>
      <c r="C1553" t="s">
        <v>12</v>
      </c>
      <c r="D1553" t="s">
        <v>6</v>
      </c>
      <c r="E1553" t="s">
        <v>21</v>
      </c>
    </row>
    <row r="1554" spans="1:5" x14ac:dyDescent="0.3">
      <c r="A1554" t="s">
        <v>4</v>
      </c>
      <c r="B1554" s="1" t="s">
        <v>13</v>
      </c>
      <c r="C1554" t="s">
        <v>10</v>
      </c>
      <c r="D1554" t="s">
        <v>7</v>
      </c>
      <c r="E1554" t="s">
        <v>21</v>
      </c>
    </row>
    <row r="1555" spans="1:5" x14ac:dyDescent="0.3">
      <c r="A1555" t="s">
        <v>4</v>
      </c>
      <c r="B1555" s="1" t="s">
        <v>13</v>
      </c>
      <c r="C1555" t="s">
        <v>12</v>
      </c>
      <c r="D1555" t="s">
        <v>8</v>
      </c>
      <c r="E1555" t="s">
        <v>21</v>
      </c>
    </row>
    <row r="1556" spans="1:5" x14ac:dyDescent="0.3">
      <c r="A1556" t="s">
        <v>4</v>
      </c>
      <c r="B1556" s="1" t="s">
        <v>13</v>
      </c>
      <c r="C1556" t="s">
        <v>12</v>
      </c>
      <c r="D1556" t="s">
        <v>9</v>
      </c>
      <c r="E1556" t="s">
        <v>21</v>
      </c>
    </row>
    <row r="1557" spans="1:5" x14ac:dyDescent="0.3">
      <c r="A1557" t="s">
        <v>4</v>
      </c>
      <c r="B1557" s="1" t="s">
        <v>13</v>
      </c>
      <c r="C1557" t="s">
        <v>12</v>
      </c>
      <c r="D1557" t="s">
        <v>5</v>
      </c>
      <c r="E1557" t="s">
        <v>21</v>
      </c>
    </row>
    <row r="1558" spans="1:5" x14ac:dyDescent="0.3">
      <c r="A1558" t="s">
        <v>4</v>
      </c>
      <c r="B1558" s="1" t="s">
        <v>13</v>
      </c>
      <c r="C1558" t="s">
        <v>12</v>
      </c>
      <c r="D1558" t="s">
        <v>6</v>
      </c>
      <c r="E1558" t="s">
        <v>21</v>
      </c>
    </row>
    <row r="1559" spans="1:5" x14ac:dyDescent="0.3">
      <c r="A1559" t="s">
        <v>4</v>
      </c>
      <c r="B1559" s="1" t="s">
        <v>13</v>
      </c>
      <c r="C1559" t="s">
        <v>10</v>
      </c>
      <c r="D1559" t="s">
        <v>7</v>
      </c>
      <c r="E1559" t="s">
        <v>21</v>
      </c>
    </row>
    <row r="1560" spans="1:5" x14ac:dyDescent="0.3">
      <c r="A1560" t="s">
        <v>4</v>
      </c>
      <c r="B1560" s="1" t="s">
        <v>13</v>
      </c>
      <c r="C1560" t="s">
        <v>12</v>
      </c>
      <c r="D1560" t="s">
        <v>8</v>
      </c>
      <c r="E1560" t="s">
        <v>21</v>
      </c>
    </row>
    <row r="1561" spans="1:5" x14ac:dyDescent="0.3">
      <c r="A1561" t="s">
        <v>4</v>
      </c>
      <c r="B1561" s="1" t="s">
        <v>13</v>
      </c>
      <c r="C1561" t="s">
        <v>12</v>
      </c>
      <c r="D1561" t="s">
        <v>9</v>
      </c>
      <c r="E1561" t="s">
        <v>21</v>
      </c>
    </row>
    <row r="1562" spans="1:5" x14ac:dyDescent="0.3">
      <c r="A1562" t="s">
        <v>4</v>
      </c>
      <c r="B1562" s="1" t="s">
        <v>13</v>
      </c>
      <c r="C1562" t="s">
        <v>12</v>
      </c>
      <c r="D1562" t="s">
        <v>5</v>
      </c>
      <c r="E1562" t="s">
        <v>21</v>
      </c>
    </row>
    <row r="1563" spans="1:5" x14ac:dyDescent="0.3">
      <c r="A1563" t="s">
        <v>4</v>
      </c>
      <c r="B1563" s="1" t="s">
        <v>13</v>
      </c>
      <c r="C1563" t="s">
        <v>12</v>
      </c>
      <c r="D1563" t="s">
        <v>6</v>
      </c>
      <c r="E1563" t="s">
        <v>21</v>
      </c>
    </row>
    <row r="1564" spans="1:5" x14ac:dyDescent="0.3">
      <c r="A1564" t="s">
        <v>4</v>
      </c>
      <c r="B1564" s="1" t="s">
        <v>13</v>
      </c>
      <c r="C1564" t="s">
        <v>10</v>
      </c>
      <c r="D1564" t="s">
        <v>7</v>
      </c>
      <c r="E1564" t="s">
        <v>21</v>
      </c>
    </row>
    <row r="1565" spans="1:5" x14ac:dyDescent="0.3">
      <c r="A1565" t="s">
        <v>4</v>
      </c>
      <c r="B1565" s="1" t="s">
        <v>13</v>
      </c>
      <c r="C1565" t="s">
        <v>12</v>
      </c>
      <c r="D1565" t="s">
        <v>8</v>
      </c>
      <c r="E1565" t="s">
        <v>21</v>
      </c>
    </row>
    <row r="1566" spans="1:5" x14ac:dyDescent="0.3">
      <c r="A1566" t="s">
        <v>4</v>
      </c>
      <c r="B1566" s="1" t="s">
        <v>13</v>
      </c>
      <c r="C1566" t="s">
        <v>12</v>
      </c>
      <c r="D1566" t="s">
        <v>9</v>
      </c>
      <c r="E1566" t="s">
        <v>21</v>
      </c>
    </row>
    <row r="1567" spans="1:5" x14ac:dyDescent="0.3">
      <c r="A1567" t="s">
        <v>4</v>
      </c>
      <c r="B1567" s="1" t="s">
        <v>13</v>
      </c>
      <c r="C1567" t="s">
        <v>12</v>
      </c>
      <c r="D1567" t="s">
        <v>5</v>
      </c>
      <c r="E1567" t="s">
        <v>21</v>
      </c>
    </row>
    <row r="1568" spans="1:5" x14ac:dyDescent="0.3">
      <c r="A1568" t="s">
        <v>4</v>
      </c>
      <c r="B1568" s="1" t="s">
        <v>13</v>
      </c>
      <c r="C1568" t="s">
        <v>12</v>
      </c>
      <c r="D1568" t="s">
        <v>6</v>
      </c>
      <c r="E1568" t="s">
        <v>21</v>
      </c>
    </row>
    <row r="1569" spans="1:5" x14ac:dyDescent="0.3">
      <c r="A1569" t="s">
        <v>4</v>
      </c>
      <c r="B1569" s="1" t="s">
        <v>13</v>
      </c>
      <c r="C1569" t="s">
        <v>10</v>
      </c>
      <c r="D1569" t="s">
        <v>7</v>
      </c>
      <c r="E1569" t="s">
        <v>21</v>
      </c>
    </row>
    <row r="1570" spans="1:5" x14ac:dyDescent="0.3">
      <c r="A1570" t="s">
        <v>4</v>
      </c>
      <c r="B1570" s="1" t="s">
        <v>13</v>
      </c>
      <c r="C1570" t="s">
        <v>12</v>
      </c>
      <c r="D1570" t="s">
        <v>8</v>
      </c>
      <c r="E1570" t="s">
        <v>21</v>
      </c>
    </row>
    <row r="1571" spans="1:5" x14ac:dyDescent="0.3">
      <c r="A1571" t="s">
        <v>4</v>
      </c>
      <c r="B1571" s="1" t="s">
        <v>13</v>
      </c>
      <c r="C1571" t="s">
        <v>12</v>
      </c>
      <c r="D1571" t="s">
        <v>9</v>
      </c>
      <c r="E1571" t="s">
        <v>21</v>
      </c>
    </row>
    <row r="1572" spans="1:5" x14ac:dyDescent="0.3">
      <c r="A1572" t="s">
        <v>4</v>
      </c>
      <c r="B1572" s="1" t="s">
        <v>13</v>
      </c>
      <c r="C1572" t="s">
        <v>12</v>
      </c>
      <c r="D1572" t="s">
        <v>5</v>
      </c>
      <c r="E1572" t="s">
        <v>21</v>
      </c>
    </row>
    <row r="1573" spans="1:5" x14ac:dyDescent="0.3">
      <c r="A1573" t="s">
        <v>4</v>
      </c>
      <c r="B1573" s="1" t="s">
        <v>13</v>
      </c>
      <c r="C1573" t="s">
        <v>12</v>
      </c>
      <c r="D1573" t="s">
        <v>6</v>
      </c>
      <c r="E1573" t="s">
        <v>21</v>
      </c>
    </row>
    <row r="1574" spans="1:5" x14ac:dyDescent="0.3">
      <c r="A1574" t="s">
        <v>4</v>
      </c>
      <c r="B1574" s="1" t="s">
        <v>13</v>
      </c>
      <c r="C1574" t="s">
        <v>10</v>
      </c>
      <c r="D1574" t="s">
        <v>7</v>
      </c>
      <c r="E1574" t="s">
        <v>21</v>
      </c>
    </row>
    <row r="1575" spans="1:5" x14ac:dyDescent="0.3">
      <c r="A1575" t="s">
        <v>4</v>
      </c>
      <c r="B1575" s="1" t="s">
        <v>13</v>
      </c>
      <c r="C1575" t="s">
        <v>12</v>
      </c>
      <c r="D1575" t="s">
        <v>8</v>
      </c>
      <c r="E1575" t="s">
        <v>21</v>
      </c>
    </row>
    <row r="1576" spans="1:5" x14ac:dyDescent="0.3">
      <c r="A1576" t="s">
        <v>4</v>
      </c>
      <c r="B1576" s="1" t="s">
        <v>13</v>
      </c>
      <c r="C1576" t="s">
        <v>12</v>
      </c>
      <c r="D1576" t="s">
        <v>9</v>
      </c>
      <c r="E1576" t="s">
        <v>21</v>
      </c>
    </row>
    <row r="1577" spans="1:5" x14ac:dyDescent="0.3">
      <c r="A1577" t="s">
        <v>4</v>
      </c>
      <c r="B1577" s="1" t="s">
        <v>13</v>
      </c>
      <c r="C1577" t="s">
        <v>12</v>
      </c>
      <c r="D1577" t="s">
        <v>5</v>
      </c>
      <c r="E1577" t="s">
        <v>21</v>
      </c>
    </row>
    <row r="1578" spans="1:5" x14ac:dyDescent="0.3">
      <c r="A1578" t="s">
        <v>4</v>
      </c>
      <c r="B1578" s="1" t="s">
        <v>13</v>
      </c>
      <c r="C1578" t="s">
        <v>12</v>
      </c>
      <c r="D1578" t="s">
        <v>6</v>
      </c>
      <c r="E1578" t="s">
        <v>21</v>
      </c>
    </row>
    <row r="1579" spans="1:5" x14ac:dyDescent="0.3">
      <c r="A1579" t="s">
        <v>4</v>
      </c>
      <c r="B1579" s="1" t="s">
        <v>13</v>
      </c>
      <c r="C1579" t="s">
        <v>10</v>
      </c>
      <c r="D1579" t="s">
        <v>7</v>
      </c>
      <c r="E1579" t="s">
        <v>21</v>
      </c>
    </row>
    <row r="1580" spans="1:5" x14ac:dyDescent="0.3">
      <c r="A1580" t="s">
        <v>4</v>
      </c>
      <c r="B1580" s="1" t="s">
        <v>13</v>
      </c>
      <c r="C1580" t="s">
        <v>12</v>
      </c>
      <c r="D1580" t="s">
        <v>8</v>
      </c>
      <c r="E1580" t="s">
        <v>21</v>
      </c>
    </row>
    <row r="1581" spans="1:5" x14ac:dyDescent="0.3">
      <c r="A1581" t="s">
        <v>4</v>
      </c>
      <c r="B1581" s="1" t="s">
        <v>13</v>
      </c>
      <c r="C1581" t="s">
        <v>12</v>
      </c>
      <c r="D1581" t="s">
        <v>9</v>
      </c>
      <c r="E1581" t="s">
        <v>21</v>
      </c>
    </row>
    <row r="1582" spans="1:5" x14ac:dyDescent="0.3">
      <c r="A1582" t="s">
        <v>4</v>
      </c>
      <c r="B1582" s="1" t="s">
        <v>13</v>
      </c>
      <c r="C1582" t="s">
        <v>12</v>
      </c>
      <c r="D1582" t="s">
        <v>5</v>
      </c>
      <c r="E1582" t="s">
        <v>21</v>
      </c>
    </row>
    <row r="1583" spans="1:5" x14ac:dyDescent="0.3">
      <c r="A1583" t="s">
        <v>4</v>
      </c>
      <c r="B1583" s="1" t="s">
        <v>13</v>
      </c>
      <c r="C1583" t="s">
        <v>12</v>
      </c>
      <c r="D1583" t="s">
        <v>6</v>
      </c>
      <c r="E1583" t="s">
        <v>21</v>
      </c>
    </row>
    <row r="1584" spans="1:5" x14ac:dyDescent="0.3">
      <c r="A1584" t="s">
        <v>4</v>
      </c>
      <c r="B1584" s="1" t="s">
        <v>13</v>
      </c>
      <c r="C1584" t="s">
        <v>10</v>
      </c>
      <c r="D1584" t="s">
        <v>7</v>
      </c>
      <c r="E1584" t="s">
        <v>21</v>
      </c>
    </row>
    <row r="1585" spans="1:5" x14ac:dyDescent="0.3">
      <c r="A1585" t="s">
        <v>4</v>
      </c>
      <c r="B1585" s="1" t="s">
        <v>13</v>
      </c>
      <c r="C1585" t="s">
        <v>12</v>
      </c>
      <c r="D1585" t="s">
        <v>8</v>
      </c>
      <c r="E1585" t="s">
        <v>21</v>
      </c>
    </row>
    <row r="1586" spans="1:5" x14ac:dyDescent="0.3">
      <c r="A1586" t="s">
        <v>4</v>
      </c>
      <c r="B1586" s="1" t="s">
        <v>13</v>
      </c>
      <c r="C1586" t="s">
        <v>12</v>
      </c>
      <c r="D1586" t="s">
        <v>9</v>
      </c>
      <c r="E1586" t="s">
        <v>21</v>
      </c>
    </row>
    <row r="1587" spans="1:5" x14ac:dyDescent="0.3">
      <c r="A1587" t="s">
        <v>4</v>
      </c>
      <c r="B1587" s="1" t="s">
        <v>13</v>
      </c>
      <c r="C1587" t="s">
        <v>12</v>
      </c>
      <c r="D1587" t="s">
        <v>5</v>
      </c>
      <c r="E1587" t="s">
        <v>21</v>
      </c>
    </row>
    <row r="1588" spans="1:5" x14ac:dyDescent="0.3">
      <c r="A1588" t="s">
        <v>4</v>
      </c>
      <c r="B1588" s="1" t="s">
        <v>13</v>
      </c>
      <c r="C1588" t="s">
        <v>10</v>
      </c>
      <c r="D1588" t="s">
        <v>6</v>
      </c>
      <c r="E1588" t="s">
        <v>21</v>
      </c>
    </row>
    <row r="1589" spans="1:5" x14ac:dyDescent="0.3">
      <c r="A1589" t="s">
        <v>4</v>
      </c>
      <c r="B1589" s="1" t="s">
        <v>13</v>
      </c>
      <c r="C1589" t="s">
        <v>10</v>
      </c>
      <c r="D1589" t="s">
        <v>7</v>
      </c>
      <c r="E1589" t="s">
        <v>21</v>
      </c>
    </row>
    <row r="1590" spans="1:5" x14ac:dyDescent="0.3">
      <c r="A1590" t="s">
        <v>4</v>
      </c>
      <c r="B1590" s="1" t="s">
        <v>13</v>
      </c>
      <c r="C1590" t="s">
        <v>12</v>
      </c>
      <c r="D1590" t="s">
        <v>8</v>
      </c>
      <c r="E1590" t="s">
        <v>21</v>
      </c>
    </row>
    <row r="1591" spans="1:5" x14ac:dyDescent="0.3">
      <c r="A1591" t="s">
        <v>4</v>
      </c>
      <c r="B1591" s="1" t="s">
        <v>13</v>
      </c>
      <c r="C1591" t="s">
        <v>12</v>
      </c>
      <c r="D1591" t="s">
        <v>9</v>
      </c>
      <c r="E1591" t="s">
        <v>21</v>
      </c>
    </row>
    <row r="1592" spans="1:5" x14ac:dyDescent="0.3">
      <c r="A1592" t="s">
        <v>4</v>
      </c>
      <c r="B1592" s="1" t="s">
        <v>13</v>
      </c>
      <c r="C1592" t="s">
        <v>12</v>
      </c>
      <c r="D1592" t="s">
        <v>5</v>
      </c>
      <c r="E1592" t="s">
        <v>21</v>
      </c>
    </row>
    <row r="1593" spans="1:5" x14ac:dyDescent="0.3">
      <c r="A1593" t="s">
        <v>4</v>
      </c>
      <c r="B1593" s="1" t="s">
        <v>13</v>
      </c>
      <c r="C1593" t="s">
        <v>12</v>
      </c>
      <c r="D1593" t="s">
        <v>6</v>
      </c>
      <c r="E1593" t="s">
        <v>21</v>
      </c>
    </row>
    <row r="1594" spans="1:5" x14ac:dyDescent="0.3">
      <c r="A1594" t="s">
        <v>4</v>
      </c>
      <c r="B1594" s="1" t="s">
        <v>13</v>
      </c>
      <c r="C1594" t="s">
        <v>10</v>
      </c>
      <c r="D1594" t="s">
        <v>7</v>
      </c>
      <c r="E1594" t="s">
        <v>21</v>
      </c>
    </row>
    <row r="1595" spans="1:5" x14ac:dyDescent="0.3">
      <c r="A1595" t="s">
        <v>4</v>
      </c>
      <c r="B1595" s="1" t="s">
        <v>13</v>
      </c>
      <c r="C1595" t="s">
        <v>12</v>
      </c>
      <c r="D1595" t="s">
        <v>8</v>
      </c>
      <c r="E1595" t="s">
        <v>21</v>
      </c>
    </row>
    <row r="1596" spans="1:5" x14ac:dyDescent="0.3">
      <c r="A1596" t="s">
        <v>4</v>
      </c>
      <c r="B1596" s="1" t="s">
        <v>13</v>
      </c>
      <c r="C1596" t="s">
        <v>12</v>
      </c>
      <c r="D1596" t="s">
        <v>9</v>
      </c>
      <c r="E1596" t="s">
        <v>21</v>
      </c>
    </row>
    <row r="1597" spans="1:5" x14ac:dyDescent="0.3">
      <c r="A1597" t="s">
        <v>4</v>
      </c>
      <c r="B1597" s="1" t="s">
        <v>13</v>
      </c>
      <c r="C1597" t="s">
        <v>12</v>
      </c>
      <c r="D1597" t="s">
        <v>5</v>
      </c>
      <c r="E1597" t="s">
        <v>21</v>
      </c>
    </row>
    <row r="1598" spans="1:5" x14ac:dyDescent="0.3">
      <c r="A1598" t="s">
        <v>4</v>
      </c>
      <c r="B1598" s="1" t="s">
        <v>13</v>
      </c>
      <c r="C1598" t="s">
        <v>12</v>
      </c>
      <c r="D1598" t="s">
        <v>6</v>
      </c>
      <c r="E1598" t="s">
        <v>21</v>
      </c>
    </row>
    <row r="1599" spans="1:5" x14ac:dyDescent="0.3">
      <c r="A1599" t="s">
        <v>4</v>
      </c>
      <c r="B1599" s="1" t="s">
        <v>13</v>
      </c>
      <c r="C1599" t="s">
        <v>10</v>
      </c>
      <c r="D1599" t="s">
        <v>7</v>
      </c>
      <c r="E1599" t="s">
        <v>21</v>
      </c>
    </row>
    <row r="1600" spans="1:5" x14ac:dyDescent="0.3">
      <c r="A1600" t="s">
        <v>4</v>
      </c>
      <c r="B1600" s="1" t="s">
        <v>13</v>
      </c>
      <c r="C1600" t="s">
        <v>12</v>
      </c>
      <c r="D1600" t="s">
        <v>8</v>
      </c>
      <c r="E1600" t="s">
        <v>21</v>
      </c>
    </row>
    <row r="1601" spans="1:5" x14ac:dyDescent="0.3">
      <c r="A1601" t="s">
        <v>4</v>
      </c>
      <c r="B1601" s="1" t="s">
        <v>13</v>
      </c>
      <c r="C1601" t="s">
        <v>12</v>
      </c>
      <c r="D1601" t="s">
        <v>9</v>
      </c>
      <c r="E1601" t="s">
        <v>21</v>
      </c>
    </row>
    <row r="1602" spans="1:5" x14ac:dyDescent="0.3">
      <c r="A1602" t="s">
        <v>4</v>
      </c>
      <c r="B1602" s="1" t="s">
        <v>13</v>
      </c>
      <c r="C1602" t="s">
        <v>12</v>
      </c>
      <c r="D1602" t="s">
        <v>5</v>
      </c>
      <c r="E1602" t="s">
        <v>21</v>
      </c>
    </row>
    <row r="1603" spans="1:5" x14ac:dyDescent="0.3">
      <c r="A1603" t="s">
        <v>4</v>
      </c>
      <c r="B1603" s="1" t="s">
        <v>13</v>
      </c>
      <c r="C1603" t="s">
        <v>12</v>
      </c>
      <c r="D1603" t="s">
        <v>6</v>
      </c>
      <c r="E1603" t="s">
        <v>21</v>
      </c>
    </row>
    <row r="1604" spans="1:5" x14ac:dyDescent="0.3">
      <c r="A1604" t="s">
        <v>4</v>
      </c>
      <c r="B1604" s="1" t="s">
        <v>13</v>
      </c>
      <c r="C1604" t="s">
        <v>10</v>
      </c>
      <c r="D1604" t="s">
        <v>7</v>
      </c>
      <c r="E1604" t="s">
        <v>21</v>
      </c>
    </row>
    <row r="1605" spans="1:5" x14ac:dyDescent="0.3">
      <c r="A1605" t="s">
        <v>4</v>
      </c>
      <c r="B1605" s="1" t="s">
        <v>13</v>
      </c>
      <c r="C1605" t="s">
        <v>12</v>
      </c>
      <c r="D1605" t="s">
        <v>8</v>
      </c>
      <c r="E1605" t="s">
        <v>21</v>
      </c>
    </row>
    <row r="1606" spans="1:5" x14ac:dyDescent="0.3">
      <c r="A1606" t="s">
        <v>4</v>
      </c>
      <c r="B1606" s="1" t="s">
        <v>13</v>
      </c>
      <c r="C1606" t="s">
        <v>12</v>
      </c>
      <c r="D1606" t="s">
        <v>9</v>
      </c>
      <c r="E1606" t="s">
        <v>21</v>
      </c>
    </row>
    <row r="1607" spans="1:5" x14ac:dyDescent="0.3">
      <c r="A1607" t="s">
        <v>4</v>
      </c>
      <c r="B1607" s="1" t="s">
        <v>13</v>
      </c>
      <c r="C1607" t="s">
        <v>12</v>
      </c>
      <c r="D1607" t="s">
        <v>5</v>
      </c>
      <c r="E1607" t="s">
        <v>21</v>
      </c>
    </row>
    <row r="1608" spans="1:5" x14ac:dyDescent="0.3">
      <c r="A1608" t="s">
        <v>4</v>
      </c>
      <c r="B1608" s="1" t="s">
        <v>13</v>
      </c>
      <c r="C1608" t="s">
        <v>12</v>
      </c>
      <c r="D1608" t="s">
        <v>6</v>
      </c>
      <c r="E1608" t="s">
        <v>21</v>
      </c>
    </row>
    <row r="1609" spans="1:5" x14ac:dyDescent="0.3">
      <c r="A1609" t="s">
        <v>4</v>
      </c>
      <c r="B1609" s="1" t="s">
        <v>13</v>
      </c>
      <c r="C1609" t="s">
        <v>10</v>
      </c>
      <c r="D1609" t="s">
        <v>7</v>
      </c>
      <c r="E1609" t="s">
        <v>21</v>
      </c>
    </row>
    <row r="1610" spans="1:5" x14ac:dyDescent="0.3">
      <c r="A1610" t="s">
        <v>4</v>
      </c>
      <c r="B1610" s="1" t="s">
        <v>13</v>
      </c>
      <c r="C1610" t="s">
        <v>12</v>
      </c>
      <c r="D1610" t="s">
        <v>8</v>
      </c>
      <c r="E1610" t="s">
        <v>21</v>
      </c>
    </row>
    <row r="1611" spans="1:5" x14ac:dyDescent="0.3">
      <c r="A1611" t="s">
        <v>4</v>
      </c>
      <c r="B1611" s="1" t="s">
        <v>13</v>
      </c>
      <c r="C1611" t="s">
        <v>12</v>
      </c>
      <c r="D1611" t="s">
        <v>9</v>
      </c>
      <c r="E1611" t="s">
        <v>21</v>
      </c>
    </row>
    <row r="1612" spans="1:5" x14ac:dyDescent="0.3">
      <c r="A1612" t="s">
        <v>4</v>
      </c>
      <c r="B1612" s="1" t="s">
        <v>13</v>
      </c>
      <c r="C1612" t="s">
        <v>12</v>
      </c>
      <c r="D1612" t="s">
        <v>5</v>
      </c>
      <c r="E1612" t="s">
        <v>21</v>
      </c>
    </row>
    <row r="1613" spans="1:5" x14ac:dyDescent="0.3">
      <c r="A1613" t="s">
        <v>4</v>
      </c>
      <c r="B1613" s="1" t="s">
        <v>13</v>
      </c>
      <c r="C1613" t="s">
        <v>12</v>
      </c>
      <c r="D1613" t="s">
        <v>6</v>
      </c>
      <c r="E1613" t="s">
        <v>21</v>
      </c>
    </row>
    <row r="1614" spans="1:5" x14ac:dyDescent="0.3">
      <c r="A1614" t="s">
        <v>4</v>
      </c>
      <c r="B1614" s="1" t="s">
        <v>13</v>
      </c>
      <c r="C1614" t="s">
        <v>10</v>
      </c>
      <c r="D1614" t="s">
        <v>7</v>
      </c>
      <c r="E1614" t="s">
        <v>21</v>
      </c>
    </row>
    <row r="1615" spans="1:5" x14ac:dyDescent="0.3">
      <c r="A1615" t="s">
        <v>4</v>
      </c>
      <c r="B1615" s="1" t="s">
        <v>13</v>
      </c>
      <c r="C1615" t="s">
        <v>12</v>
      </c>
      <c r="D1615" t="s">
        <v>8</v>
      </c>
      <c r="E1615" t="s">
        <v>21</v>
      </c>
    </row>
    <row r="1616" spans="1:5" x14ac:dyDescent="0.3">
      <c r="A1616" t="s">
        <v>4</v>
      </c>
      <c r="B1616" s="1" t="s">
        <v>13</v>
      </c>
      <c r="C1616" t="s">
        <v>12</v>
      </c>
      <c r="D1616" t="s">
        <v>9</v>
      </c>
      <c r="E1616" t="s">
        <v>21</v>
      </c>
    </row>
    <row r="1617" spans="1:5" x14ac:dyDescent="0.3">
      <c r="A1617" t="s">
        <v>4</v>
      </c>
      <c r="B1617" s="1" t="s">
        <v>13</v>
      </c>
      <c r="C1617" t="s">
        <v>12</v>
      </c>
      <c r="D1617" t="s">
        <v>5</v>
      </c>
      <c r="E1617" t="s">
        <v>23</v>
      </c>
    </row>
    <row r="1618" spans="1:5" x14ac:dyDescent="0.3">
      <c r="A1618" t="s">
        <v>4</v>
      </c>
      <c r="B1618" s="1" t="s">
        <v>13</v>
      </c>
      <c r="C1618" t="s">
        <v>12</v>
      </c>
      <c r="D1618" t="s">
        <v>6</v>
      </c>
      <c r="E1618" t="s">
        <v>23</v>
      </c>
    </row>
    <row r="1619" spans="1:5" x14ac:dyDescent="0.3">
      <c r="A1619" t="s">
        <v>4</v>
      </c>
      <c r="B1619" s="1" t="s">
        <v>13</v>
      </c>
      <c r="C1619" t="s">
        <v>12</v>
      </c>
      <c r="D1619" t="s">
        <v>7</v>
      </c>
      <c r="E1619" t="s">
        <v>23</v>
      </c>
    </row>
    <row r="1620" spans="1:5" x14ac:dyDescent="0.3">
      <c r="A1620" t="s">
        <v>4</v>
      </c>
      <c r="B1620" s="1" t="s">
        <v>13</v>
      </c>
      <c r="C1620" t="s">
        <v>11</v>
      </c>
      <c r="D1620" t="s">
        <v>8</v>
      </c>
      <c r="E1620" t="s">
        <v>23</v>
      </c>
    </row>
    <row r="1621" spans="1:5" x14ac:dyDescent="0.3">
      <c r="A1621" t="s">
        <v>4</v>
      </c>
      <c r="B1621" s="1" t="s">
        <v>13</v>
      </c>
      <c r="C1621" t="s">
        <v>11</v>
      </c>
      <c r="D1621" t="s">
        <v>9</v>
      </c>
      <c r="E1621" t="s">
        <v>23</v>
      </c>
    </row>
    <row r="1622" spans="1:5" x14ac:dyDescent="0.3">
      <c r="A1622" t="s">
        <v>4</v>
      </c>
      <c r="B1622" s="1" t="s">
        <v>13</v>
      </c>
      <c r="C1622" t="s">
        <v>12</v>
      </c>
      <c r="D1622" t="s">
        <v>5</v>
      </c>
      <c r="E1622" t="s">
        <v>23</v>
      </c>
    </row>
    <row r="1623" spans="1:5" x14ac:dyDescent="0.3">
      <c r="A1623" t="s">
        <v>4</v>
      </c>
      <c r="B1623" s="1" t="s">
        <v>13</v>
      </c>
      <c r="C1623" t="s">
        <v>12</v>
      </c>
      <c r="D1623" t="s">
        <v>6</v>
      </c>
      <c r="E1623" t="s">
        <v>23</v>
      </c>
    </row>
    <row r="1624" spans="1:5" x14ac:dyDescent="0.3">
      <c r="A1624" t="s">
        <v>4</v>
      </c>
      <c r="B1624" s="1" t="s">
        <v>13</v>
      </c>
      <c r="C1624" t="s">
        <v>11</v>
      </c>
      <c r="D1624" t="s">
        <v>7</v>
      </c>
      <c r="E1624" t="s">
        <v>23</v>
      </c>
    </row>
    <row r="1625" spans="1:5" x14ac:dyDescent="0.3">
      <c r="A1625" t="s">
        <v>4</v>
      </c>
      <c r="B1625" s="1" t="s">
        <v>13</v>
      </c>
      <c r="C1625" t="s">
        <v>11</v>
      </c>
      <c r="D1625" t="s">
        <v>8</v>
      </c>
      <c r="E1625" t="s">
        <v>23</v>
      </c>
    </row>
    <row r="1626" spans="1:5" x14ac:dyDescent="0.3">
      <c r="A1626" t="s">
        <v>4</v>
      </c>
      <c r="B1626" s="1" t="s">
        <v>13</v>
      </c>
      <c r="C1626" t="s">
        <v>12</v>
      </c>
      <c r="D1626" t="s">
        <v>9</v>
      </c>
      <c r="E1626" t="s">
        <v>23</v>
      </c>
    </row>
    <row r="1627" spans="1:5" x14ac:dyDescent="0.3">
      <c r="A1627" t="s">
        <v>4</v>
      </c>
      <c r="B1627" s="1" t="s">
        <v>13</v>
      </c>
      <c r="C1627" t="s">
        <v>12</v>
      </c>
      <c r="D1627" t="s">
        <v>5</v>
      </c>
      <c r="E1627" t="s">
        <v>23</v>
      </c>
    </row>
    <row r="1628" spans="1:5" x14ac:dyDescent="0.3">
      <c r="A1628" t="s">
        <v>4</v>
      </c>
      <c r="B1628" s="1" t="s">
        <v>13</v>
      </c>
      <c r="C1628" t="s">
        <v>12</v>
      </c>
      <c r="D1628" t="s">
        <v>6</v>
      </c>
      <c r="E1628" t="s">
        <v>23</v>
      </c>
    </row>
    <row r="1629" spans="1:5" x14ac:dyDescent="0.3">
      <c r="A1629" t="s">
        <v>4</v>
      </c>
      <c r="B1629" s="1" t="s">
        <v>13</v>
      </c>
      <c r="C1629" t="s">
        <v>11</v>
      </c>
      <c r="D1629" t="s">
        <v>7</v>
      </c>
      <c r="E1629" t="s">
        <v>23</v>
      </c>
    </row>
    <row r="1630" spans="1:5" x14ac:dyDescent="0.3">
      <c r="A1630" t="s">
        <v>4</v>
      </c>
      <c r="B1630" s="1" t="s">
        <v>13</v>
      </c>
      <c r="C1630" t="s">
        <v>11</v>
      </c>
      <c r="D1630" t="s">
        <v>8</v>
      </c>
      <c r="E1630" t="s">
        <v>23</v>
      </c>
    </row>
    <row r="1631" spans="1:5" x14ac:dyDescent="0.3">
      <c r="A1631" t="s">
        <v>4</v>
      </c>
      <c r="B1631" s="1" t="s">
        <v>13</v>
      </c>
      <c r="C1631" t="s">
        <v>11</v>
      </c>
      <c r="D1631" t="s">
        <v>9</v>
      </c>
      <c r="E1631" t="s">
        <v>23</v>
      </c>
    </row>
    <row r="1632" spans="1:5" x14ac:dyDescent="0.3">
      <c r="A1632" t="s">
        <v>4</v>
      </c>
      <c r="B1632" s="1" t="s">
        <v>13</v>
      </c>
      <c r="C1632" t="s">
        <v>12</v>
      </c>
      <c r="D1632" t="s">
        <v>5</v>
      </c>
      <c r="E1632" t="s">
        <v>23</v>
      </c>
    </row>
    <row r="1633" spans="1:5" x14ac:dyDescent="0.3">
      <c r="A1633" t="s">
        <v>4</v>
      </c>
      <c r="B1633" s="1" t="s">
        <v>13</v>
      </c>
      <c r="C1633" t="s">
        <v>12</v>
      </c>
      <c r="D1633" t="s">
        <v>6</v>
      </c>
      <c r="E1633" t="s">
        <v>23</v>
      </c>
    </row>
    <row r="1634" spans="1:5" x14ac:dyDescent="0.3">
      <c r="A1634" t="s">
        <v>4</v>
      </c>
      <c r="B1634" s="1" t="s">
        <v>13</v>
      </c>
      <c r="C1634" t="s">
        <v>11</v>
      </c>
      <c r="D1634" t="s">
        <v>7</v>
      </c>
      <c r="E1634" t="s">
        <v>23</v>
      </c>
    </row>
    <row r="1635" spans="1:5" x14ac:dyDescent="0.3">
      <c r="A1635" t="s">
        <v>4</v>
      </c>
      <c r="B1635" s="1" t="s">
        <v>13</v>
      </c>
      <c r="C1635" t="s">
        <v>11</v>
      </c>
      <c r="D1635" t="s">
        <v>8</v>
      </c>
      <c r="E1635" t="s">
        <v>23</v>
      </c>
    </row>
    <row r="1636" spans="1:5" x14ac:dyDescent="0.3">
      <c r="A1636" t="s">
        <v>4</v>
      </c>
      <c r="B1636" s="4" t="s">
        <v>13</v>
      </c>
      <c r="C1636" t="s">
        <v>11</v>
      </c>
      <c r="D1636" t="s">
        <v>9</v>
      </c>
      <c r="E1636" t="s">
        <v>23</v>
      </c>
    </row>
    <row r="1637" spans="1:5" x14ac:dyDescent="0.3">
      <c r="A1637" t="s">
        <v>4</v>
      </c>
      <c r="B1637" s="4" t="str">
        <f>HYPERLINK("https://www.racv.com.au/content/dam/racv-assets/images/images/motor/road-safety/1600x900/railway-level-crossing-1600x900.jpg.transform/herobannerTablet/image.jpg","Link")</f>
        <v>Link</v>
      </c>
      <c r="C1637" t="s">
        <v>12</v>
      </c>
      <c r="D1637" t="s">
        <v>5</v>
      </c>
      <c r="E1637" t="s">
        <v>23</v>
      </c>
    </row>
    <row r="1638" spans="1:5" x14ac:dyDescent="0.3">
      <c r="A1638" t="s">
        <v>4</v>
      </c>
      <c r="B1638" s="4" t="str">
        <f>HYPERLINK("https://www.racv.com.au/content/dam/racv-assets/images/images/motor/road-safety/1600x900/railway-level-crossing-1600x900.jpg.transform/herobannerTablet/image.jpg","Link")</f>
        <v>Link</v>
      </c>
      <c r="C1638" t="s">
        <v>12</v>
      </c>
      <c r="D1638" t="s">
        <v>6</v>
      </c>
      <c r="E1638" t="s">
        <v>23</v>
      </c>
    </row>
    <row r="1639" spans="1:5" x14ac:dyDescent="0.3">
      <c r="A1639" t="s">
        <v>4</v>
      </c>
      <c r="B1639" s="4" t="str">
        <f t="shared" ref="B1639:B1641" si="0">HYPERLINK("https://www.racv.com.au/content/dam/racv-assets/images/images/motor/road-safety/1600x900/railway-level-crossing-1600x900.jpg.transform/herobannerTablet/image.jpg","Link")</f>
        <v>Link</v>
      </c>
      <c r="C1639" t="s">
        <v>11</v>
      </c>
      <c r="D1639" t="s">
        <v>7</v>
      </c>
      <c r="E1639" t="s">
        <v>23</v>
      </c>
    </row>
    <row r="1640" spans="1:5" x14ac:dyDescent="0.3">
      <c r="A1640" t="s">
        <v>4</v>
      </c>
      <c r="B1640" s="4" t="str">
        <f t="shared" si="0"/>
        <v>Link</v>
      </c>
      <c r="C1640" t="s">
        <v>11</v>
      </c>
      <c r="D1640" t="s">
        <v>8</v>
      </c>
      <c r="E1640" t="s">
        <v>23</v>
      </c>
    </row>
    <row r="1641" spans="1:5" x14ac:dyDescent="0.3">
      <c r="A1641" t="s">
        <v>4</v>
      </c>
      <c r="B1641" s="4" t="str">
        <f t="shared" si="0"/>
        <v>Link</v>
      </c>
      <c r="C1641" t="s">
        <v>11</v>
      </c>
      <c r="D1641" t="s">
        <v>9</v>
      </c>
      <c r="E1641" t="s">
        <v>23</v>
      </c>
    </row>
    <row r="1642" spans="1:5" x14ac:dyDescent="0.3">
      <c r="A1642" t="s">
        <v>4</v>
      </c>
      <c r="B1642" s="4" t="s">
        <v>13</v>
      </c>
      <c r="C1642" t="s">
        <v>12</v>
      </c>
      <c r="D1642" t="s">
        <v>5</v>
      </c>
      <c r="E1642" t="s">
        <v>23</v>
      </c>
    </row>
    <row r="1643" spans="1:5" x14ac:dyDescent="0.3">
      <c r="A1643" t="s">
        <v>4</v>
      </c>
      <c r="B1643" s="4" t="s">
        <v>13</v>
      </c>
      <c r="C1643" t="s">
        <v>11</v>
      </c>
      <c r="D1643" t="s">
        <v>6</v>
      </c>
      <c r="E1643" t="s">
        <v>23</v>
      </c>
    </row>
    <row r="1644" spans="1:5" x14ac:dyDescent="0.3">
      <c r="A1644" t="s">
        <v>4</v>
      </c>
      <c r="B1644" s="4" t="s">
        <v>13</v>
      </c>
      <c r="C1644" t="s">
        <v>12</v>
      </c>
      <c r="D1644" t="s">
        <v>7</v>
      </c>
      <c r="E1644" t="s">
        <v>23</v>
      </c>
    </row>
    <row r="1645" spans="1:5" x14ac:dyDescent="0.3">
      <c r="A1645" t="s">
        <v>4</v>
      </c>
      <c r="B1645" s="4" t="s">
        <v>13</v>
      </c>
      <c r="C1645" t="s">
        <v>11</v>
      </c>
      <c r="D1645" t="s">
        <v>8</v>
      </c>
      <c r="E1645" t="s">
        <v>23</v>
      </c>
    </row>
    <row r="1646" spans="1:5" x14ac:dyDescent="0.3">
      <c r="A1646" t="s">
        <v>4</v>
      </c>
      <c r="B1646" s="4" t="s">
        <v>13</v>
      </c>
      <c r="C1646" t="s">
        <v>11</v>
      </c>
      <c r="D1646" t="s">
        <v>9</v>
      </c>
      <c r="E1646" t="s">
        <v>23</v>
      </c>
    </row>
    <row r="1647" spans="1:5" x14ac:dyDescent="0.3">
      <c r="A1647" t="s">
        <v>4</v>
      </c>
      <c r="B1647" s="4" t="s">
        <v>13</v>
      </c>
      <c r="C1647" t="s">
        <v>12</v>
      </c>
      <c r="D1647" t="s">
        <v>5</v>
      </c>
      <c r="E1647" t="s">
        <v>23</v>
      </c>
    </row>
    <row r="1648" spans="1:5" x14ac:dyDescent="0.3">
      <c r="A1648" t="s">
        <v>4</v>
      </c>
      <c r="B1648" s="4" t="s">
        <v>13</v>
      </c>
      <c r="C1648" t="s">
        <v>10</v>
      </c>
      <c r="D1648" t="s">
        <v>6</v>
      </c>
      <c r="E1648" t="s">
        <v>23</v>
      </c>
    </row>
    <row r="1649" spans="1:5" x14ac:dyDescent="0.3">
      <c r="A1649" t="s">
        <v>4</v>
      </c>
      <c r="B1649" s="1" t="s">
        <v>13</v>
      </c>
      <c r="C1649" t="s">
        <v>11</v>
      </c>
      <c r="D1649" t="s">
        <v>7</v>
      </c>
      <c r="E1649" t="s">
        <v>23</v>
      </c>
    </row>
    <row r="1650" spans="1:5" x14ac:dyDescent="0.3">
      <c r="A1650" t="s">
        <v>4</v>
      </c>
      <c r="B1650" s="1" t="s">
        <v>13</v>
      </c>
      <c r="C1650" t="s">
        <v>11</v>
      </c>
      <c r="D1650" t="s">
        <v>8</v>
      </c>
      <c r="E1650" t="s">
        <v>23</v>
      </c>
    </row>
    <row r="1651" spans="1:5" x14ac:dyDescent="0.3">
      <c r="A1651" t="s">
        <v>4</v>
      </c>
      <c r="B1651" s="1" t="s">
        <v>13</v>
      </c>
      <c r="C1651" t="s">
        <v>12</v>
      </c>
      <c r="D1651" t="s">
        <v>9</v>
      </c>
      <c r="E1651" t="s">
        <v>23</v>
      </c>
    </row>
    <row r="1652" spans="1:5" x14ac:dyDescent="0.3">
      <c r="A1652" t="s">
        <v>4</v>
      </c>
      <c r="B1652" s="1" t="s">
        <v>13</v>
      </c>
      <c r="C1652" t="s">
        <v>12</v>
      </c>
      <c r="D1652" t="s">
        <v>5</v>
      </c>
      <c r="E1652" t="s">
        <v>23</v>
      </c>
    </row>
    <row r="1653" spans="1:5" x14ac:dyDescent="0.3">
      <c r="A1653" t="s">
        <v>4</v>
      </c>
      <c r="B1653" s="1" t="s">
        <v>13</v>
      </c>
      <c r="C1653" t="s">
        <v>12</v>
      </c>
      <c r="D1653" t="s">
        <v>6</v>
      </c>
      <c r="E1653" t="s">
        <v>23</v>
      </c>
    </row>
    <row r="1654" spans="1:5" x14ac:dyDescent="0.3">
      <c r="A1654" t="s">
        <v>4</v>
      </c>
      <c r="B1654" s="1" t="s">
        <v>13</v>
      </c>
      <c r="C1654" t="s">
        <v>11</v>
      </c>
      <c r="D1654" t="s">
        <v>7</v>
      </c>
      <c r="E1654" t="s">
        <v>23</v>
      </c>
    </row>
    <row r="1655" spans="1:5" x14ac:dyDescent="0.3">
      <c r="A1655" t="s">
        <v>4</v>
      </c>
      <c r="B1655" s="1" t="s">
        <v>13</v>
      </c>
      <c r="C1655" t="s">
        <v>11</v>
      </c>
      <c r="D1655" t="s">
        <v>8</v>
      </c>
      <c r="E1655" t="s">
        <v>23</v>
      </c>
    </row>
    <row r="1656" spans="1:5" x14ac:dyDescent="0.3">
      <c r="A1656" t="s">
        <v>4</v>
      </c>
      <c r="B1656" s="1" t="s">
        <v>13</v>
      </c>
      <c r="C1656" t="s">
        <v>11</v>
      </c>
      <c r="D1656" t="s">
        <v>9</v>
      </c>
      <c r="E1656" t="s">
        <v>23</v>
      </c>
    </row>
    <row r="1657" spans="1:5" x14ac:dyDescent="0.3">
      <c r="A1657" t="s">
        <v>4</v>
      </c>
      <c r="B1657" s="1" t="s">
        <v>13</v>
      </c>
      <c r="C1657" t="s">
        <v>12</v>
      </c>
      <c r="D1657" t="s">
        <v>5</v>
      </c>
      <c r="E1657" t="s">
        <v>23</v>
      </c>
    </row>
    <row r="1658" spans="1:5" x14ac:dyDescent="0.3">
      <c r="A1658" t="s">
        <v>4</v>
      </c>
      <c r="B1658" s="1" t="s">
        <v>13</v>
      </c>
      <c r="C1658" t="s">
        <v>12</v>
      </c>
      <c r="D1658" t="s">
        <v>6</v>
      </c>
      <c r="E1658" t="s">
        <v>23</v>
      </c>
    </row>
    <row r="1659" spans="1:5" x14ac:dyDescent="0.3">
      <c r="A1659" t="s">
        <v>4</v>
      </c>
      <c r="B1659" s="1" t="s">
        <v>13</v>
      </c>
      <c r="C1659" t="s">
        <v>12</v>
      </c>
      <c r="D1659" t="s">
        <v>7</v>
      </c>
      <c r="E1659" t="s">
        <v>23</v>
      </c>
    </row>
    <row r="1660" spans="1:5" x14ac:dyDescent="0.3">
      <c r="A1660" t="s">
        <v>4</v>
      </c>
      <c r="B1660" s="1" t="s">
        <v>13</v>
      </c>
      <c r="C1660" t="s">
        <v>11</v>
      </c>
      <c r="D1660" t="s">
        <v>8</v>
      </c>
      <c r="E1660" t="s">
        <v>23</v>
      </c>
    </row>
    <row r="1661" spans="1:5" x14ac:dyDescent="0.3">
      <c r="A1661" t="s">
        <v>4</v>
      </c>
      <c r="B1661" s="1" t="s">
        <v>13</v>
      </c>
      <c r="C1661" t="s">
        <v>12</v>
      </c>
      <c r="D1661" t="s">
        <v>9</v>
      </c>
      <c r="E1661" t="s">
        <v>23</v>
      </c>
    </row>
    <row r="1662" spans="1:5" x14ac:dyDescent="0.3">
      <c r="A1662" t="s">
        <v>4</v>
      </c>
      <c r="B1662" s="1" t="s">
        <v>13</v>
      </c>
      <c r="C1662" t="s">
        <v>12</v>
      </c>
      <c r="D1662" t="s">
        <v>5</v>
      </c>
      <c r="E1662" t="s">
        <v>23</v>
      </c>
    </row>
    <row r="1663" spans="1:5" x14ac:dyDescent="0.3">
      <c r="A1663" t="s">
        <v>4</v>
      </c>
      <c r="B1663" s="1" t="s">
        <v>13</v>
      </c>
      <c r="C1663" t="s">
        <v>12</v>
      </c>
      <c r="D1663" t="s">
        <v>6</v>
      </c>
      <c r="E1663" t="s">
        <v>23</v>
      </c>
    </row>
    <row r="1664" spans="1:5" x14ac:dyDescent="0.3">
      <c r="A1664" t="s">
        <v>4</v>
      </c>
      <c r="B1664" s="1" t="s">
        <v>13</v>
      </c>
      <c r="C1664" t="s">
        <v>12</v>
      </c>
      <c r="D1664" t="s">
        <v>7</v>
      </c>
      <c r="E1664" t="s">
        <v>23</v>
      </c>
    </row>
    <row r="1665" spans="1:5" x14ac:dyDescent="0.3">
      <c r="A1665" t="s">
        <v>4</v>
      </c>
      <c r="B1665" s="1" t="s">
        <v>13</v>
      </c>
      <c r="C1665" t="s">
        <v>11</v>
      </c>
      <c r="D1665" t="s">
        <v>8</v>
      </c>
      <c r="E1665" t="s">
        <v>23</v>
      </c>
    </row>
    <row r="1666" spans="1:5" x14ac:dyDescent="0.3">
      <c r="A1666" t="s">
        <v>4</v>
      </c>
      <c r="B1666" s="1" t="s">
        <v>13</v>
      </c>
      <c r="C1666" t="s">
        <v>12</v>
      </c>
      <c r="D1666" t="s">
        <v>9</v>
      </c>
      <c r="E1666" t="s">
        <v>23</v>
      </c>
    </row>
    <row r="1667" spans="1:5" x14ac:dyDescent="0.3">
      <c r="A1667" t="s">
        <v>4</v>
      </c>
      <c r="B1667" s="1" t="s">
        <v>13</v>
      </c>
      <c r="C1667" t="s">
        <v>12</v>
      </c>
      <c r="D1667" t="s">
        <v>5</v>
      </c>
      <c r="E1667" t="s">
        <v>23</v>
      </c>
    </row>
    <row r="1668" spans="1:5" x14ac:dyDescent="0.3">
      <c r="A1668" t="s">
        <v>4</v>
      </c>
      <c r="B1668" s="1" t="s">
        <v>13</v>
      </c>
      <c r="C1668" t="s">
        <v>12</v>
      </c>
      <c r="D1668" t="s">
        <v>6</v>
      </c>
      <c r="E1668" t="s">
        <v>23</v>
      </c>
    </row>
    <row r="1669" spans="1:5" x14ac:dyDescent="0.3">
      <c r="A1669" t="s">
        <v>4</v>
      </c>
      <c r="B1669" s="1" t="s">
        <v>13</v>
      </c>
      <c r="C1669" t="s">
        <v>12</v>
      </c>
      <c r="D1669" t="s">
        <v>7</v>
      </c>
      <c r="E1669" t="s">
        <v>23</v>
      </c>
    </row>
    <row r="1670" spans="1:5" x14ac:dyDescent="0.3">
      <c r="A1670" t="s">
        <v>4</v>
      </c>
      <c r="B1670" s="1" t="s">
        <v>13</v>
      </c>
      <c r="C1670" t="s">
        <v>11</v>
      </c>
      <c r="D1670" t="s">
        <v>8</v>
      </c>
      <c r="E1670" t="s">
        <v>23</v>
      </c>
    </row>
    <row r="1671" spans="1:5" x14ac:dyDescent="0.3">
      <c r="A1671" t="s">
        <v>4</v>
      </c>
      <c r="B1671" s="1" t="s">
        <v>13</v>
      </c>
      <c r="C1671" t="s">
        <v>12</v>
      </c>
      <c r="D1671" t="s">
        <v>9</v>
      </c>
      <c r="E1671" t="s">
        <v>23</v>
      </c>
    </row>
    <row r="1672" spans="1:5" x14ac:dyDescent="0.3">
      <c r="A1672" t="s">
        <v>4</v>
      </c>
      <c r="B1672" s="1" t="s">
        <v>13</v>
      </c>
      <c r="C1672" t="s">
        <v>11</v>
      </c>
      <c r="D1672" t="s">
        <v>5</v>
      </c>
      <c r="E1672" t="s">
        <v>23</v>
      </c>
    </row>
    <row r="1673" spans="1:5" x14ac:dyDescent="0.3">
      <c r="A1673" t="s">
        <v>4</v>
      </c>
      <c r="B1673" s="1" t="s">
        <v>13</v>
      </c>
      <c r="C1673" t="s">
        <v>12</v>
      </c>
      <c r="D1673" t="s">
        <v>6</v>
      </c>
      <c r="E1673" t="s">
        <v>23</v>
      </c>
    </row>
    <row r="1674" spans="1:5" x14ac:dyDescent="0.3">
      <c r="A1674" t="s">
        <v>4</v>
      </c>
      <c r="B1674" s="1" t="s">
        <v>13</v>
      </c>
      <c r="C1674" t="s">
        <v>12</v>
      </c>
      <c r="D1674" t="s">
        <v>7</v>
      </c>
      <c r="E1674" t="s">
        <v>23</v>
      </c>
    </row>
    <row r="1675" spans="1:5" x14ac:dyDescent="0.3">
      <c r="A1675" t="s">
        <v>4</v>
      </c>
      <c r="B1675" s="1" t="s">
        <v>13</v>
      </c>
      <c r="C1675" t="s">
        <v>11</v>
      </c>
      <c r="D1675" t="s">
        <v>8</v>
      </c>
      <c r="E1675" t="s">
        <v>23</v>
      </c>
    </row>
    <row r="1676" spans="1:5" x14ac:dyDescent="0.3">
      <c r="A1676" t="s">
        <v>4</v>
      </c>
      <c r="B1676" s="1" t="s">
        <v>13</v>
      </c>
      <c r="C1676" t="s">
        <v>12</v>
      </c>
      <c r="D1676" t="s">
        <v>9</v>
      </c>
      <c r="E1676" t="s">
        <v>23</v>
      </c>
    </row>
    <row r="1677" spans="1:5" x14ac:dyDescent="0.3">
      <c r="A1677" t="s">
        <v>4</v>
      </c>
      <c r="B1677" s="1" t="s">
        <v>13</v>
      </c>
      <c r="C1677" t="s">
        <v>11</v>
      </c>
      <c r="D1677" t="s">
        <v>5</v>
      </c>
      <c r="E1677" t="s">
        <v>23</v>
      </c>
    </row>
    <row r="1678" spans="1:5" x14ac:dyDescent="0.3">
      <c r="A1678" t="s">
        <v>4</v>
      </c>
      <c r="B1678" s="1" t="s">
        <v>13</v>
      </c>
      <c r="C1678" t="s">
        <v>12</v>
      </c>
      <c r="D1678" t="s">
        <v>6</v>
      </c>
      <c r="E1678" t="s">
        <v>23</v>
      </c>
    </row>
    <row r="1679" spans="1:5" x14ac:dyDescent="0.3">
      <c r="A1679" t="s">
        <v>4</v>
      </c>
      <c r="B1679" s="1" t="s">
        <v>13</v>
      </c>
      <c r="C1679" t="s">
        <v>12</v>
      </c>
      <c r="D1679" t="s">
        <v>7</v>
      </c>
      <c r="E1679" t="s">
        <v>23</v>
      </c>
    </row>
    <row r="1680" spans="1:5" x14ac:dyDescent="0.3">
      <c r="A1680" t="s">
        <v>4</v>
      </c>
      <c r="B1680" s="1" t="s">
        <v>13</v>
      </c>
      <c r="C1680" t="s">
        <v>11</v>
      </c>
      <c r="D1680" t="s">
        <v>8</v>
      </c>
      <c r="E1680" t="s">
        <v>23</v>
      </c>
    </row>
    <row r="1681" spans="1:5" x14ac:dyDescent="0.3">
      <c r="A1681" t="s">
        <v>4</v>
      </c>
      <c r="B1681" s="1" t="s">
        <v>13</v>
      </c>
      <c r="C1681" t="s">
        <v>12</v>
      </c>
      <c r="D1681" t="s">
        <v>9</v>
      </c>
      <c r="E1681" t="s">
        <v>23</v>
      </c>
    </row>
    <row r="1682" spans="1:5" x14ac:dyDescent="0.3">
      <c r="A1682" t="s">
        <v>4</v>
      </c>
      <c r="B1682" s="1" t="s">
        <v>13</v>
      </c>
      <c r="C1682" t="s">
        <v>12</v>
      </c>
      <c r="D1682" t="s">
        <v>5</v>
      </c>
      <c r="E1682" t="s">
        <v>23</v>
      </c>
    </row>
    <row r="1683" spans="1:5" x14ac:dyDescent="0.3">
      <c r="A1683" t="s">
        <v>4</v>
      </c>
      <c r="B1683" s="1" t="s">
        <v>13</v>
      </c>
      <c r="C1683" t="s">
        <v>12</v>
      </c>
      <c r="D1683" t="s">
        <v>6</v>
      </c>
      <c r="E1683" t="s">
        <v>23</v>
      </c>
    </row>
    <row r="1684" spans="1:5" x14ac:dyDescent="0.3">
      <c r="A1684" t="s">
        <v>4</v>
      </c>
      <c r="B1684" s="1" t="s">
        <v>13</v>
      </c>
      <c r="C1684" t="s">
        <v>11</v>
      </c>
      <c r="D1684" t="s">
        <v>7</v>
      </c>
      <c r="E1684" t="s">
        <v>23</v>
      </c>
    </row>
    <row r="1685" spans="1:5" x14ac:dyDescent="0.3">
      <c r="A1685" t="s">
        <v>4</v>
      </c>
      <c r="B1685" s="1" t="s">
        <v>13</v>
      </c>
      <c r="C1685" t="s">
        <v>11</v>
      </c>
      <c r="D1685" t="s">
        <v>8</v>
      </c>
      <c r="E1685" t="s">
        <v>23</v>
      </c>
    </row>
    <row r="1686" spans="1:5" x14ac:dyDescent="0.3">
      <c r="A1686" t="s">
        <v>4</v>
      </c>
      <c r="B1686" s="1" t="s">
        <v>13</v>
      </c>
      <c r="C1686" t="s">
        <v>11</v>
      </c>
      <c r="D1686" t="s">
        <v>9</v>
      </c>
      <c r="E1686" t="s">
        <v>23</v>
      </c>
    </row>
    <row r="1687" spans="1:5" x14ac:dyDescent="0.3">
      <c r="A1687" t="s">
        <v>4</v>
      </c>
      <c r="B1687" s="1" t="s">
        <v>13</v>
      </c>
      <c r="C1687" t="s">
        <v>12</v>
      </c>
      <c r="D1687" t="s">
        <v>5</v>
      </c>
      <c r="E1687" t="s">
        <v>23</v>
      </c>
    </row>
    <row r="1688" spans="1:5" x14ac:dyDescent="0.3">
      <c r="A1688" t="s">
        <v>4</v>
      </c>
      <c r="B1688" s="1" t="s">
        <v>13</v>
      </c>
      <c r="C1688" t="s">
        <v>12</v>
      </c>
      <c r="D1688" t="s">
        <v>6</v>
      </c>
      <c r="E1688" t="s">
        <v>23</v>
      </c>
    </row>
    <row r="1689" spans="1:5" x14ac:dyDescent="0.3">
      <c r="A1689" t="s">
        <v>4</v>
      </c>
      <c r="B1689" s="1" t="s">
        <v>13</v>
      </c>
      <c r="C1689" t="s">
        <v>11</v>
      </c>
      <c r="D1689" t="s">
        <v>7</v>
      </c>
      <c r="E1689" t="s">
        <v>23</v>
      </c>
    </row>
    <row r="1690" spans="1:5" x14ac:dyDescent="0.3">
      <c r="A1690" t="s">
        <v>4</v>
      </c>
      <c r="B1690" s="1" t="s">
        <v>13</v>
      </c>
      <c r="C1690" t="s">
        <v>11</v>
      </c>
      <c r="D1690" t="s">
        <v>8</v>
      </c>
      <c r="E1690" t="s">
        <v>23</v>
      </c>
    </row>
    <row r="1691" spans="1:5" x14ac:dyDescent="0.3">
      <c r="A1691" t="s">
        <v>4</v>
      </c>
      <c r="B1691" s="1" t="s">
        <v>13</v>
      </c>
      <c r="C1691" t="s">
        <v>11</v>
      </c>
      <c r="D1691" t="s">
        <v>9</v>
      </c>
      <c r="E1691" t="s">
        <v>23</v>
      </c>
    </row>
    <row r="1692" spans="1:5" x14ac:dyDescent="0.3">
      <c r="A1692" t="s">
        <v>4</v>
      </c>
      <c r="B1692" s="1" t="s">
        <v>13</v>
      </c>
      <c r="C1692" t="s">
        <v>12</v>
      </c>
      <c r="D1692" t="s">
        <v>5</v>
      </c>
      <c r="E1692" t="s">
        <v>23</v>
      </c>
    </row>
    <row r="1693" spans="1:5" x14ac:dyDescent="0.3">
      <c r="A1693" t="s">
        <v>4</v>
      </c>
      <c r="B1693" s="1" t="s">
        <v>13</v>
      </c>
      <c r="C1693" t="s">
        <v>12</v>
      </c>
      <c r="D1693" t="s">
        <v>6</v>
      </c>
      <c r="E1693" t="s">
        <v>23</v>
      </c>
    </row>
    <row r="1694" spans="1:5" x14ac:dyDescent="0.3">
      <c r="A1694" t="s">
        <v>4</v>
      </c>
      <c r="B1694" s="1" t="s">
        <v>13</v>
      </c>
      <c r="C1694" t="s">
        <v>12</v>
      </c>
      <c r="D1694" t="s">
        <v>7</v>
      </c>
      <c r="E1694" t="s">
        <v>23</v>
      </c>
    </row>
    <row r="1695" spans="1:5" x14ac:dyDescent="0.3">
      <c r="A1695" t="s">
        <v>4</v>
      </c>
      <c r="B1695" s="1" t="s">
        <v>13</v>
      </c>
      <c r="C1695" t="s">
        <v>11</v>
      </c>
      <c r="D1695" t="s">
        <v>8</v>
      </c>
      <c r="E1695" t="s">
        <v>23</v>
      </c>
    </row>
    <row r="1696" spans="1:5" x14ac:dyDescent="0.3">
      <c r="A1696" t="s">
        <v>4</v>
      </c>
      <c r="B1696" s="1" t="s">
        <v>13</v>
      </c>
      <c r="C1696" t="s">
        <v>11</v>
      </c>
      <c r="D1696" t="s">
        <v>9</v>
      </c>
      <c r="E1696" t="s">
        <v>23</v>
      </c>
    </row>
    <row r="1697" spans="1:5" x14ac:dyDescent="0.3">
      <c r="A1697" t="s">
        <v>4</v>
      </c>
      <c r="B1697" s="1" t="s">
        <v>13</v>
      </c>
      <c r="C1697" t="s">
        <v>12</v>
      </c>
      <c r="D1697" t="s">
        <v>5</v>
      </c>
      <c r="E1697" t="s">
        <v>23</v>
      </c>
    </row>
    <row r="1698" spans="1:5" x14ac:dyDescent="0.3">
      <c r="A1698" t="s">
        <v>4</v>
      </c>
      <c r="B1698" s="1" t="s">
        <v>13</v>
      </c>
      <c r="C1698" t="s">
        <v>12</v>
      </c>
      <c r="D1698" t="s">
        <v>6</v>
      </c>
      <c r="E1698" t="s">
        <v>23</v>
      </c>
    </row>
    <row r="1699" spans="1:5" x14ac:dyDescent="0.3">
      <c r="A1699" t="s">
        <v>4</v>
      </c>
      <c r="B1699" s="1" t="s">
        <v>13</v>
      </c>
      <c r="C1699" t="s">
        <v>12</v>
      </c>
      <c r="D1699" t="s">
        <v>7</v>
      </c>
      <c r="E1699" t="s">
        <v>23</v>
      </c>
    </row>
    <row r="1700" spans="1:5" x14ac:dyDescent="0.3">
      <c r="A1700" t="s">
        <v>4</v>
      </c>
      <c r="B1700" s="1" t="s">
        <v>13</v>
      </c>
      <c r="C1700" t="s">
        <v>11</v>
      </c>
      <c r="D1700" t="s">
        <v>8</v>
      </c>
      <c r="E1700" t="s">
        <v>23</v>
      </c>
    </row>
    <row r="1701" spans="1:5" x14ac:dyDescent="0.3">
      <c r="A1701" t="s">
        <v>4</v>
      </c>
      <c r="B1701" s="1" t="s">
        <v>13</v>
      </c>
      <c r="C1701" t="s">
        <v>11</v>
      </c>
      <c r="D1701" t="s">
        <v>9</v>
      </c>
      <c r="E1701" t="s">
        <v>23</v>
      </c>
    </row>
    <row r="1702" spans="1:5" x14ac:dyDescent="0.3">
      <c r="A1702" t="s">
        <v>4</v>
      </c>
      <c r="B1702" s="1" t="s">
        <v>13</v>
      </c>
      <c r="C1702" t="s">
        <v>12</v>
      </c>
      <c r="D1702" t="s">
        <v>5</v>
      </c>
      <c r="E1702" t="s">
        <v>23</v>
      </c>
    </row>
    <row r="1703" spans="1:5" x14ac:dyDescent="0.3">
      <c r="A1703" t="s">
        <v>4</v>
      </c>
      <c r="B1703" s="1" t="s">
        <v>13</v>
      </c>
      <c r="C1703" t="s">
        <v>12</v>
      </c>
      <c r="D1703" t="s">
        <v>6</v>
      </c>
      <c r="E1703" t="s">
        <v>23</v>
      </c>
    </row>
    <row r="1704" spans="1:5" x14ac:dyDescent="0.3">
      <c r="A1704" t="s">
        <v>4</v>
      </c>
      <c r="B1704" s="1" t="s">
        <v>13</v>
      </c>
      <c r="C1704" t="s">
        <v>11</v>
      </c>
      <c r="D1704" t="s">
        <v>7</v>
      </c>
      <c r="E1704" t="s">
        <v>23</v>
      </c>
    </row>
    <row r="1705" spans="1:5" x14ac:dyDescent="0.3">
      <c r="A1705" t="s">
        <v>4</v>
      </c>
      <c r="B1705" s="1" t="s">
        <v>13</v>
      </c>
      <c r="C1705" t="s">
        <v>11</v>
      </c>
      <c r="D1705" t="s">
        <v>8</v>
      </c>
      <c r="E1705" t="s">
        <v>23</v>
      </c>
    </row>
    <row r="1706" spans="1:5" x14ac:dyDescent="0.3">
      <c r="A1706" t="s">
        <v>4</v>
      </c>
      <c r="B1706" s="1" t="s">
        <v>13</v>
      </c>
      <c r="C1706" t="s">
        <v>11</v>
      </c>
      <c r="D1706" t="s">
        <v>9</v>
      </c>
      <c r="E1706" t="s">
        <v>23</v>
      </c>
    </row>
    <row r="1707" spans="1:5" x14ac:dyDescent="0.3">
      <c r="A1707" t="s">
        <v>4</v>
      </c>
      <c r="B1707" s="1" t="s">
        <v>13</v>
      </c>
      <c r="C1707" t="s">
        <v>12</v>
      </c>
      <c r="D1707" t="s">
        <v>5</v>
      </c>
      <c r="E1707" t="s">
        <v>23</v>
      </c>
    </row>
    <row r="1708" spans="1:5" x14ac:dyDescent="0.3">
      <c r="A1708" t="s">
        <v>4</v>
      </c>
      <c r="B1708" s="1" t="s">
        <v>13</v>
      </c>
      <c r="C1708" t="s">
        <v>12</v>
      </c>
      <c r="D1708" t="s">
        <v>6</v>
      </c>
      <c r="E1708" t="s">
        <v>23</v>
      </c>
    </row>
    <row r="1709" spans="1:5" x14ac:dyDescent="0.3">
      <c r="A1709" t="s">
        <v>4</v>
      </c>
      <c r="B1709" s="1" t="s">
        <v>13</v>
      </c>
      <c r="C1709" t="s">
        <v>11</v>
      </c>
      <c r="D1709" t="s">
        <v>7</v>
      </c>
      <c r="E1709" t="s">
        <v>23</v>
      </c>
    </row>
    <row r="1710" spans="1:5" x14ac:dyDescent="0.3">
      <c r="A1710" t="s">
        <v>4</v>
      </c>
      <c r="B1710" s="1" t="s">
        <v>13</v>
      </c>
      <c r="C1710" t="s">
        <v>11</v>
      </c>
      <c r="D1710" t="s">
        <v>8</v>
      </c>
      <c r="E1710" t="s">
        <v>23</v>
      </c>
    </row>
    <row r="1711" spans="1:5" x14ac:dyDescent="0.3">
      <c r="A1711" t="s">
        <v>4</v>
      </c>
      <c r="B1711" s="1" t="s">
        <v>13</v>
      </c>
      <c r="C1711" t="s">
        <v>12</v>
      </c>
      <c r="D1711" t="s">
        <v>9</v>
      </c>
      <c r="E1711" t="s">
        <v>23</v>
      </c>
    </row>
    <row r="1712" spans="1:5" x14ac:dyDescent="0.3">
      <c r="A1712" t="s">
        <v>4</v>
      </c>
      <c r="B1712" s="1" t="s">
        <v>13</v>
      </c>
      <c r="C1712" t="s">
        <v>12</v>
      </c>
      <c r="D1712" t="s">
        <v>5</v>
      </c>
      <c r="E1712" t="s">
        <v>23</v>
      </c>
    </row>
    <row r="1713" spans="1:5" x14ac:dyDescent="0.3">
      <c r="A1713" t="s">
        <v>4</v>
      </c>
      <c r="B1713" s="1" t="s">
        <v>13</v>
      </c>
      <c r="C1713" t="s">
        <v>12</v>
      </c>
      <c r="D1713" t="s">
        <v>6</v>
      </c>
      <c r="E1713" t="s">
        <v>23</v>
      </c>
    </row>
    <row r="1714" spans="1:5" x14ac:dyDescent="0.3">
      <c r="A1714" t="s">
        <v>4</v>
      </c>
      <c r="B1714" s="1" t="s">
        <v>13</v>
      </c>
      <c r="C1714" t="s">
        <v>11</v>
      </c>
      <c r="D1714" t="s">
        <v>7</v>
      </c>
      <c r="E1714" t="s">
        <v>23</v>
      </c>
    </row>
    <row r="1715" spans="1:5" x14ac:dyDescent="0.3">
      <c r="A1715" t="s">
        <v>4</v>
      </c>
      <c r="B1715" s="1" t="s">
        <v>13</v>
      </c>
      <c r="C1715" t="s">
        <v>11</v>
      </c>
      <c r="D1715" t="s">
        <v>8</v>
      </c>
      <c r="E1715" t="s">
        <v>23</v>
      </c>
    </row>
    <row r="1716" spans="1:5" x14ac:dyDescent="0.3">
      <c r="A1716" t="s">
        <v>4</v>
      </c>
      <c r="B1716" s="1" t="s">
        <v>13</v>
      </c>
      <c r="C1716" t="s">
        <v>11</v>
      </c>
      <c r="D1716" t="s">
        <v>9</v>
      </c>
      <c r="E1716" t="s">
        <v>23</v>
      </c>
    </row>
    <row r="1717" spans="1:5" x14ac:dyDescent="0.3">
      <c r="A1717" t="s">
        <v>4</v>
      </c>
      <c r="B1717" s="1" t="s">
        <v>13</v>
      </c>
      <c r="C1717" t="s">
        <v>12</v>
      </c>
      <c r="D1717" t="s">
        <v>5</v>
      </c>
      <c r="E1717" t="s">
        <v>23</v>
      </c>
    </row>
    <row r="1718" spans="1:5" x14ac:dyDescent="0.3">
      <c r="A1718" t="s">
        <v>4</v>
      </c>
      <c r="B1718" s="1" t="s">
        <v>13</v>
      </c>
      <c r="C1718" t="s">
        <v>12</v>
      </c>
      <c r="D1718" t="s">
        <v>6</v>
      </c>
      <c r="E1718" t="s">
        <v>23</v>
      </c>
    </row>
    <row r="1719" spans="1:5" x14ac:dyDescent="0.3">
      <c r="A1719" t="s">
        <v>4</v>
      </c>
      <c r="B1719" s="1" t="s">
        <v>13</v>
      </c>
      <c r="C1719" t="s">
        <v>11</v>
      </c>
      <c r="D1719" t="s">
        <v>7</v>
      </c>
      <c r="E1719" t="s">
        <v>23</v>
      </c>
    </row>
    <row r="1720" spans="1:5" x14ac:dyDescent="0.3">
      <c r="A1720" t="s">
        <v>4</v>
      </c>
      <c r="B1720" s="1" t="s">
        <v>13</v>
      </c>
      <c r="C1720" t="s">
        <v>11</v>
      </c>
      <c r="D1720" t="s">
        <v>8</v>
      </c>
      <c r="E1720" t="s">
        <v>23</v>
      </c>
    </row>
    <row r="1721" spans="1:5" x14ac:dyDescent="0.3">
      <c r="A1721" t="s">
        <v>4</v>
      </c>
      <c r="B1721" s="1" t="s">
        <v>13</v>
      </c>
      <c r="C1721" t="s">
        <v>11</v>
      </c>
      <c r="D1721" t="s">
        <v>9</v>
      </c>
      <c r="E1721" t="s">
        <v>23</v>
      </c>
    </row>
    <row r="1722" spans="1:5" x14ac:dyDescent="0.3">
      <c r="A1722" t="s">
        <v>4</v>
      </c>
      <c r="B1722" s="1" t="s">
        <v>13</v>
      </c>
      <c r="C1722" t="s">
        <v>12</v>
      </c>
      <c r="D1722" t="s">
        <v>5</v>
      </c>
      <c r="E1722" t="s">
        <v>23</v>
      </c>
    </row>
    <row r="1723" spans="1:5" x14ac:dyDescent="0.3">
      <c r="A1723" t="s">
        <v>4</v>
      </c>
      <c r="B1723" s="1" t="s">
        <v>13</v>
      </c>
      <c r="C1723" t="s">
        <v>12</v>
      </c>
      <c r="D1723" t="s">
        <v>6</v>
      </c>
      <c r="E1723" t="s">
        <v>23</v>
      </c>
    </row>
    <row r="1724" spans="1:5" x14ac:dyDescent="0.3">
      <c r="A1724" t="s">
        <v>4</v>
      </c>
      <c r="B1724" s="1" t="s">
        <v>13</v>
      </c>
      <c r="C1724" t="s">
        <v>12</v>
      </c>
      <c r="D1724" t="s">
        <v>7</v>
      </c>
      <c r="E1724" t="s">
        <v>23</v>
      </c>
    </row>
    <row r="1725" spans="1:5" x14ac:dyDescent="0.3">
      <c r="A1725" t="s">
        <v>4</v>
      </c>
      <c r="B1725" s="1" t="s">
        <v>13</v>
      </c>
      <c r="C1725" t="s">
        <v>11</v>
      </c>
      <c r="D1725" t="s">
        <v>8</v>
      </c>
      <c r="E1725" t="s">
        <v>23</v>
      </c>
    </row>
    <row r="1726" spans="1:5" x14ac:dyDescent="0.3">
      <c r="A1726" t="s">
        <v>4</v>
      </c>
      <c r="B1726" s="1" t="s">
        <v>13</v>
      </c>
      <c r="C1726" t="s">
        <v>12</v>
      </c>
      <c r="D1726" t="s">
        <v>9</v>
      </c>
      <c r="E1726" t="s">
        <v>23</v>
      </c>
    </row>
    <row r="1727" spans="1:5" x14ac:dyDescent="0.3">
      <c r="A1727" t="s">
        <v>4</v>
      </c>
      <c r="B1727" s="1" t="s">
        <v>13</v>
      </c>
      <c r="C1727" t="s">
        <v>12</v>
      </c>
      <c r="D1727" t="s">
        <v>5</v>
      </c>
      <c r="E1727" t="s">
        <v>23</v>
      </c>
    </row>
    <row r="1728" spans="1:5" x14ac:dyDescent="0.3">
      <c r="A1728" t="s">
        <v>4</v>
      </c>
      <c r="B1728" s="1" t="s">
        <v>13</v>
      </c>
      <c r="C1728" t="s">
        <v>12</v>
      </c>
      <c r="D1728" t="s">
        <v>6</v>
      </c>
      <c r="E1728" t="s">
        <v>23</v>
      </c>
    </row>
    <row r="1729" spans="1:5" x14ac:dyDescent="0.3">
      <c r="A1729" t="s">
        <v>4</v>
      </c>
      <c r="B1729" s="1" t="s">
        <v>13</v>
      </c>
      <c r="C1729" t="s">
        <v>11</v>
      </c>
      <c r="D1729" t="s">
        <v>7</v>
      </c>
      <c r="E1729" t="s">
        <v>23</v>
      </c>
    </row>
    <row r="1730" spans="1:5" x14ac:dyDescent="0.3">
      <c r="A1730" t="s">
        <v>4</v>
      </c>
      <c r="B1730" s="1" t="s">
        <v>13</v>
      </c>
      <c r="C1730" t="s">
        <v>11</v>
      </c>
      <c r="D1730" t="s">
        <v>8</v>
      </c>
      <c r="E1730" t="s">
        <v>23</v>
      </c>
    </row>
    <row r="1731" spans="1:5" x14ac:dyDescent="0.3">
      <c r="A1731" t="s">
        <v>4</v>
      </c>
      <c r="B1731" s="1" t="s">
        <v>13</v>
      </c>
      <c r="C1731" t="s">
        <v>11</v>
      </c>
      <c r="D1731" t="s">
        <v>9</v>
      </c>
      <c r="E1731" t="s">
        <v>23</v>
      </c>
    </row>
    <row r="1732" spans="1:5" x14ac:dyDescent="0.3">
      <c r="A1732" t="s">
        <v>4</v>
      </c>
      <c r="B1732" s="1" t="s">
        <v>13</v>
      </c>
      <c r="C1732" t="s">
        <v>12</v>
      </c>
      <c r="D1732" t="s">
        <v>5</v>
      </c>
      <c r="E1732" t="s">
        <v>23</v>
      </c>
    </row>
    <row r="1733" spans="1:5" x14ac:dyDescent="0.3">
      <c r="A1733" t="s">
        <v>4</v>
      </c>
      <c r="B1733" s="1" t="s">
        <v>13</v>
      </c>
      <c r="C1733" t="s">
        <v>11</v>
      </c>
      <c r="D1733" t="s">
        <v>6</v>
      </c>
      <c r="E1733" t="s">
        <v>23</v>
      </c>
    </row>
    <row r="1734" spans="1:5" x14ac:dyDescent="0.3">
      <c r="A1734" t="s">
        <v>4</v>
      </c>
      <c r="B1734" s="1" t="s">
        <v>13</v>
      </c>
      <c r="C1734" t="s">
        <v>11</v>
      </c>
      <c r="D1734" t="s">
        <v>7</v>
      </c>
      <c r="E1734" t="s">
        <v>23</v>
      </c>
    </row>
    <row r="1735" spans="1:5" x14ac:dyDescent="0.3">
      <c r="A1735" t="s">
        <v>4</v>
      </c>
      <c r="B1735" s="1" t="s">
        <v>13</v>
      </c>
      <c r="C1735" t="s">
        <v>11</v>
      </c>
      <c r="D1735" t="s">
        <v>8</v>
      </c>
      <c r="E1735" t="s">
        <v>23</v>
      </c>
    </row>
    <row r="1736" spans="1:5" x14ac:dyDescent="0.3">
      <c r="A1736" t="s">
        <v>4</v>
      </c>
      <c r="B1736" s="1" t="s">
        <v>13</v>
      </c>
      <c r="C1736" t="s">
        <v>11</v>
      </c>
      <c r="D1736" t="s">
        <v>9</v>
      </c>
      <c r="E1736" t="s">
        <v>23</v>
      </c>
    </row>
    <row r="1737" spans="1:5" x14ac:dyDescent="0.3">
      <c r="A1737" t="s">
        <v>4</v>
      </c>
      <c r="B1737" s="1" t="s">
        <v>13</v>
      </c>
      <c r="C1737" t="s">
        <v>12</v>
      </c>
      <c r="D1737" t="s">
        <v>5</v>
      </c>
      <c r="E1737" t="s">
        <v>23</v>
      </c>
    </row>
    <row r="1738" spans="1:5" x14ac:dyDescent="0.3">
      <c r="A1738" t="s">
        <v>4</v>
      </c>
      <c r="B1738" s="1" t="s">
        <v>13</v>
      </c>
      <c r="C1738" t="s">
        <v>12</v>
      </c>
      <c r="D1738" t="s">
        <v>6</v>
      </c>
      <c r="E1738" t="s">
        <v>23</v>
      </c>
    </row>
    <row r="1739" spans="1:5" x14ac:dyDescent="0.3">
      <c r="A1739" t="s">
        <v>4</v>
      </c>
      <c r="B1739" s="1" t="s">
        <v>13</v>
      </c>
      <c r="C1739" t="s">
        <v>11</v>
      </c>
      <c r="D1739" t="s">
        <v>7</v>
      </c>
      <c r="E1739" t="s">
        <v>23</v>
      </c>
    </row>
    <row r="1740" spans="1:5" x14ac:dyDescent="0.3">
      <c r="A1740" t="s">
        <v>4</v>
      </c>
      <c r="B1740" s="1" t="s">
        <v>13</v>
      </c>
      <c r="C1740" t="s">
        <v>11</v>
      </c>
      <c r="D1740" t="s">
        <v>8</v>
      </c>
      <c r="E1740" t="s">
        <v>23</v>
      </c>
    </row>
    <row r="1741" spans="1:5" x14ac:dyDescent="0.3">
      <c r="A1741" t="s">
        <v>4</v>
      </c>
      <c r="B1741" s="1" t="s">
        <v>13</v>
      </c>
      <c r="C1741" t="s">
        <v>11</v>
      </c>
      <c r="D1741" t="s">
        <v>9</v>
      </c>
      <c r="E1741" t="s">
        <v>23</v>
      </c>
    </row>
    <row r="1742" spans="1:5" x14ac:dyDescent="0.3">
      <c r="A1742" t="s">
        <v>4</v>
      </c>
      <c r="B1742" s="1" t="s">
        <v>13</v>
      </c>
      <c r="C1742" t="s">
        <v>12</v>
      </c>
      <c r="D1742" t="s">
        <v>5</v>
      </c>
      <c r="E1742" t="s">
        <v>23</v>
      </c>
    </row>
    <row r="1743" spans="1:5" x14ac:dyDescent="0.3">
      <c r="A1743" t="s">
        <v>4</v>
      </c>
      <c r="B1743" s="1" t="s">
        <v>13</v>
      </c>
      <c r="C1743" t="s">
        <v>12</v>
      </c>
      <c r="D1743" t="s">
        <v>6</v>
      </c>
      <c r="E1743" t="s">
        <v>23</v>
      </c>
    </row>
    <row r="1744" spans="1:5" x14ac:dyDescent="0.3">
      <c r="A1744" t="s">
        <v>4</v>
      </c>
      <c r="B1744" s="1" t="s">
        <v>13</v>
      </c>
      <c r="C1744" t="s">
        <v>12</v>
      </c>
      <c r="D1744" t="s">
        <v>7</v>
      </c>
      <c r="E1744" t="s">
        <v>23</v>
      </c>
    </row>
    <row r="1745" spans="1:5" x14ac:dyDescent="0.3">
      <c r="A1745" t="s">
        <v>4</v>
      </c>
      <c r="B1745" s="1" t="s">
        <v>13</v>
      </c>
      <c r="C1745" t="s">
        <v>11</v>
      </c>
      <c r="D1745" t="s">
        <v>8</v>
      </c>
      <c r="E1745" t="s">
        <v>23</v>
      </c>
    </row>
    <row r="1746" spans="1:5" x14ac:dyDescent="0.3">
      <c r="A1746" t="s">
        <v>4</v>
      </c>
      <c r="B1746" s="1" t="s">
        <v>13</v>
      </c>
      <c r="C1746" t="s">
        <v>11</v>
      </c>
      <c r="D1746" t="s">
        <v>9</v>
      </c>
      <c r="E1746" t="s">
        <v>23</v>
      </c>
    </row>
    <row r="1747" spans="1:5" x14ac:dyDescent="0.3">
      <c r="A1747" t="s">
        <v>4</v>
      </c>
      <c r="B1747" s="1" t="s">
        <v>13</v>
      </c>
      <c r="C1747" t="s">
        <v>12</v>
      </c>
      <c r="D1747" t="s">
        <v>5</v>
      </c>
      <c r="E1747" t="s">
        <v>23</v>
      </c>
    </row>
    <row r="1748" spans="1:5" x14ac:dyDescent="0.3">
      <c r="A1748" t="s">
        <v>4</v>
      </c>
      <c r="B1748" s="1" t="s">
        <v>13</v>
      </c>
      <c r="C1748" t="s">
        <v>12</v>
      </c>
      <c r="D1748" t="s">
        <v>6</v>
      </c>
      <c r="E1748" t="s">
        <v>23</v>
      </c>
    </row>
    <row r="1749" spans="1:5" x14ac:dyDescent="0.3">
      <c r="A1749" t="s">
        <v>4</v>
      </c>
      <c r="B1749" s="1" t="s">
        <v>13</v>
      </c>
      <c r="C1749" t="s">
        <v>11</v>
      </c>
      <c r="D1749" t="s">
        <v>7</v>
      </c>
      <c r="E1749" t="s">
        <v>23</v>
      </c>
    </row>
    <row r="1750" spans="1:5" x14ac:dyDescent="0.3">
      <c r="A1750" t="s">
        <v>4</v>
      </c>
      <c r="B1750" s="1" t="s">
        <v>13</v>
      </c>
      <c r="C1750" t="s">
        <v>11</v>
      </c>
      <c r="D1750" t="s">
        <v>8</v>
      </c>
      <c r="E1750" t="s">
        <v>23</v>
      </c>
    </row>
    <row r="1751" spans="1:5" x14ac:dyDescent="0.3">
      <c r="A1751" t="s">
        <v>4</v>
      </c>
      <c r="B1751" s="1" t="s">
        <v>13</v>
      </c>
      <c r="C1751" t="s">
        <v>12</v>
      </c>
      <c r="D1751" t="s">
        <v>9</v>
      </c>
      <c r="E1751" t="s">
        <v>23</v>
      </c>
    </row>
    <row r="1752" spans="1:5" x14ac:dyDescent="0.3">
      <c r="A1752" t="s">
        <v>4</v>
      </c>
      <c r="B1752" s="1" t="s">
        <v>13</v>
      </c>
      <c r="C1752" t="s">
        <v>12</v>
      </c>
      <c r="D1752" t="s">
        <v>5</v>
      </c>
      <c r="E1752" t="s">
        <v>23</v>
      </c>
    </row>
    <row r="1753" spans="1:5" x14ac:dyDescent="0.3">
      <c r="A1753" t="s">
        <v>4</v>
      </c>
      <c r="B1753" s="1" t="s">
        <v>13</v>
      </c>
      <c r="C1753" t="s">
        <v>12</v>
      </c>
      <c r="D1753" t="s">
        <v>6</v>
      </c>
      <c r="E1753" t="s">
        <v>23</v>
      </c>
    </row>
    <row r="1754" spans="1:5" x14ac:dyDescent="0.3">
      <c r="A1754" t="s">
        <v>4</v>
      </c>
      <c r="B1754" s="1" t="s">
        <v>13</v>
      </c>
      <c r="C1754" t="s">
        <v>12</v>
      </c>
      <c r="D1754" t="s">
        <v>7</v>
      </c>
      <c r="E1754" t="s">
        <v>23</v>
      </c>
    </row>
    <row r="1755" spans="1:5" x14ac:dyDescent="0.3">
      <c r="A1755" t="s">
        <v>4</v>
      </c>
      <c r="B1755" s="1" t="s">
        <v>13</v>
      </c>
      <c r="C1755" t="s">
        <v>11</v>
      </c>
      <c r="D1755" t="s">
        <v>8</v>
      </c>
      <c r="E1755" t="s">
        <v>23</v>
      </c>
    </row>
    <row r="1756" spans="1:5" x14ac:dyDescent="0.3">
      <c r="A1756" t="s">
        <v>4</v>
      </c>
      <c r="B1756" s="1" t="s">
        <v>13</v>
      </c>
      <c r="C1756" t="s">
        <v>11</v>
      </c>
      <c r="D1756" t="s">
        <v>9</v>
      </c>
      <c r="E1756" t="s">
        <v>23</v>
      </c>
    </row>
    <row r="1757" spans="1:5" x14ac:dyDescent="0.3">
      <c r="A1757" t="s">
        <v>4</v>
      </c>
      <c r="B1757" s="1" t="s">
        <v>13</v>
      </c>
      <c r="C1757" t="s">
        <v>12</v>
      </c>
      <c r="D1757" t="s">
        <v>5</v>
      </c>
      <c r="E1757" t="s">
        <v>23</v>
      </c>
    </row>
    <row r="1758" spans="1:5" x14ac:dyDescent="0.3">
      <c r="A1758" t="s">
        <v>4</v>
      </c>
      <c r="B1758" s="1" t="s">
        <v>13</v>
      </c>
      <c r="C1758" t="s">
        <v>12</v>
      </c>
      <c r="D1758" t="s">
        <v>6</v>
      </c>
      <c r="E1758" t="s">
        <v>23</v>
      </c>
    </row>
    <row r="1759" spans="1:5" x14ac:dyDescent="0.3">
      <c r="A1759" t="s">
        <v>4</v>
      </c>
      <c r="B1759" s="1" t="s">
        <v>13</v>
      </c>
      <c r="C1759" t="s">
        <v>11</v>
      </c>
      <c r="D1759" t="s">
        <v>7</v>
      </c>
      <c r="E1759" t="s">
        <v>23</v>
      </c>
    </row>
    <row r="1760" spans="1:5" x14ac:dyDescent="0.3">
      <c r="A1760" t="s">
        <v>4</v>
      </c>
      <c r="B1760" s="1" t="s">
        <v>13</v>
      </c>
      <c r="C1760" t="s">
        <v>11</v>
      </c>
      <c r="D1760" t="s">
        <v>8</v>
      </c>
      <c r="E1760" t="s">
        <v>23</v>
      </c>
    </row>
    <row r="1761" spans="1:5" x14ac:dyDescent="0.3">
      <c r="A1761" t="s">
        <v>4</v>
      </c>
      <c r="B1761" s="1" t="s">
        <v>13</v>
      </c>
      <c r="C1761" t="s">
        <v>11</v>
      </c>
      <c r="D1761" t="s">
        <v>9</v>
      </c>
      <c r="E1761" t="s">
        <v>23</v>
      </c>
    </row>
    <row r="1762" spans="1:5" x14ac:dyDescent="0.3">
      <c r="A1762" t="s">
        <v>4</v>
      </c>
      <c r="B1762" s="1" t="s">
        <v>13</v>
      </c>
      <c r="C1762" t="s">
        <v>12</v>
      </c>
      <c r="D1762" t="s">
        <v>5</v>
      </c>
      <c r="E1762" t="s">
        <v>23</v>
      </c>
    </row>
    <row r="1763" spans="1:5" x14ac:dyDescent="0.3">
      <c r="A1763" t="s">
        <v>4</v>
      </c>
      <c r="B1763" s="1" t="s">
        <v>13</v>
      </c>
      <c r="C1763" t="s">
        <v>12</v>
      </c>
      <c r="D1763" t="s">
        <v>6</v>
      </c>
      <c r="E1763" t="s">
        <v>23</v>
      </c>
    </row>
    <row r="1764" spans="1:5" x14ac:dyDescent="0.3">
      <c r="A1764" t="s">
        <v>4</v>
      </c>
      <c r="B1764" s="1" t="s">
        <v>13</v>
      </c>
      <c r="C1764" t="s">
        <v>11</v>
      </c>
      <c r="D1764" t="s">
        <v>7</v>
      </c>
      <c r="E1764" t="s">
        <v>23</v>
      </c>
    </row>
    <row r="1765" spans="1:5" x14ac:dyDescent="0.3">
      <c r="A1765" t="s">
        <v>4</v>
      </c>
      <c r="B1765" s="1" t="s">
        <v>13</v>
      </c>
      <c r="C1765" t="s">
        <v>11</v>
      </c>
      <c r="D1765" t="s">
        <v>8</v>
      </c>
      <c r="E1765" t="s">
        <v>23</v>
      </c>
    </row>
    <row r="1766" spans="1:5" x14ac:dyDescent="0.3">
      <c r="A1766" t="s">
        <v>4</v>
      </c>
      <c r="B1766" s="1" t="s">
        <v>13</v>
      </c>
      <c r="C1766" t="s">
        <v>11</v>
      </c>
      <c r="D1766" t="s">
        <v>9</v>
      </c>
      <c r="E1766" t="s">
        <v>23</v>
      </c>
    </row>
    <row r="1767" spans="1:5" x14ac:dyDescent="0.3">
      <c r="A1767" t="s">
        <v>4</v>
      </c>
      <c r="B1767" s="1" t="s">
        <v>13</v>
      </c>
      <c r="C1767" t="s">
        <v>12</v>
      </c>
      <c r="D1767" t="s">
        <v>5</v>
      </c>
      <c r="E1767" t="s">
        <v>23</v>
      </c>
    </row>
    <row r="1768" spans="1:5" x14ac:dyDescent="0.3">
      <c r="A1768" t="s">
        <v>4</v>
      </c>
      <c r="B1768" s="1" t="s">
        <v>13</v>
      </c>
      <c r="C1768" t="s">
        <v>12</v>
      </c>
      <c r="D1768" t="s">
        <v>6</v>
      </c>
      <c r="E1768" t="s">
        <v>23</v>
      </c>
    </row>
    <row r="1769" spans="1:5" x14ac:dyDescent="0.3">
      <c r="A1769" t="s">
        <v>4</v>
      </c>
      <c r="B1769" s="1" t="s">
        <v>13</v>
      </c>
      <c r="C1769" t="s">
        <v>11</v>
      </c>
      <c r="D1769" t="s">
        <v>7</v>
      </c>
      <c r="E1769" t="s">
        <v>23</v>
      </c>
    </row>
    <row r="1770" spans="1:5" x14ac:dyDescent="0.3">
      <c r="A1770" t="s">
        <v>4</v>
      </c>
      <c r="B1770" s="1" t="s">
        <v>13</v>
      </c>
      <c r="C1770" t="s">
        <v>11</v>
      </c>
      <c r="D1770" t="s">
        <v>8</v>
      </c>
      <c r="E1770" t="s">
        <v>23</v>
      </c>
    </row>
    <row r="1771" spans="1:5" x14ac:dyDescent="0.3">
      <c r="A1771" t="s">
        <v>4</v>
      </c>
      <c r="B1771" s="1" t="s">
        <v>13</v>
      </c>
      <c r="C1771" t="s">
        <v>11</v>
      </c>
      <c r="D1771" t="s">
        <v>9</v>
      </c>
      <c r="E1771" t="s">
        <v>23</v>
      </c>
    </row>
    <row r="1772" spans="1:5" x14ac:dyDescent="0.3">
      <c r="A1772" t="s">
        <v>4</v>
      </c>
      <c r="B1772" s="1" t="s">
        <v>13</v>
      </c>
      <c r="C1772" t="s">
        <v>12</v>
      </c>
      <c r="D1772" t="s">
        <v>5</v>
      </c>
      <c r="E1772" t="s">
        <v>23</v>
      </c>
    </row>
    <row r="1773" spans="1:5" x14ac:dyDescent="0.3">
      <c r="A1773" t="s">
        <v>4</v>
      </c>
      <c r="B1773" s="1" t="s">
        <v>13</v>
      </c>
      <c r="C1773" t="s">
        <v>11</v>
      </c>
      <c r="D1773" t="s">
        <v>6</v>
      </c>
      <c r="E1773" t="s">
        <v>23</v>
      </c>
    </row>
    <row r="1774" spans="1:5" x14ac:dyDescent="0.3">
      <c r="A1774" t="s">
        <v>4</v>
      </c>
      <c r="B1774" s="1" t="s">
        <v>13</v>
      </c>
      <c r="C1774" t="s">
        <v>11</v>
      </c>
      <c r="D1774" t="s">
        <v>7</v>
      </c>
      <c r="E1774" t="s">
        <v>23</v>
      </c>
    </row>
    <row r="1775" spans="1:5" x14ac:dyDescent="0.3">
      <c r="A1775" t="s">
        <v>4</v>
      </c>
      <c r="B1775" s="1" t="s">
        <v>13</v>
      </c>
      <c r="C1775" t="s">
        <v>11</v>
      </c>
      <c r="D1775" t="s">
        <v>8</v>
      </c>
      <c r="E1775" t="s">
        <v>23</v>
      </c>
    </row>
    <row r="1776" spans="1:5" x14ac:dyDescent="0.3">
      <c r="A1776" t="s">
        <v>4</v>
      </c>
      <c r="B1776" s="1" t="s">
        <v>13</v>
      </c>
      <c r="C1776" t="s">
        <v>11</v>
      </c>
      <c r="D1776" t="s">
        <v>9</v>
      </c>
      <c r="E1776" t="s">
        <v>23</v>
      </c>
    </row>
    <row r="1777" spans="1:5" x14ac:dyDescent="0.3">
      <c r="A1777" t="s">
        <v>4</v>
      </c>
      <c r="B1777" s="1" t="s">
        <v>13</v>
      </c>
      <c r="C1777" t="s">
        <v>12</v>
      </c>
      <c r="D1777" t="s">
        <v>5</v>
      </c>
      <c r="E1777" t="s">
        <v>23</v>
      </c>
    </row>
    <row r="1778" spans="1:5" x14ac:dyDescent="0.3">
      <c r="A1778" t="s">
        <v>4</v>
      </c>
      <c r="B1778" s="1" t="s">
        <v>13</v>
      </c>
      <c r="C1778" t="s">
        <v>12</v>
      </c>
      <c r="D1778" t="s">
        <v>6</v>
      </c>
      <c r="E1778" t="s">
        <v>23</v>
      </c>
    </row>
    <row r="1779" spans="1:5" x14ac:dyDescent="0.3">
      <c r="A1779" t="s">
        <v>4</v>
      </c>
      <c r="B1779" s="1" t="s">
        <v>13</v>
      </c>
      <c r="C1779" t="s">
        <v>12</v>
      </c>
      <c r="D1779" t="s">
        <v>7</v>
      </c>
      <c r="E1779" t="s">
        <v>23</v>
      </c>
    </row>
    <row r="1780" spans="1:5" x14ac:dyDescent="0.3">
      <c r="A1780" t="s">
        <v>4</v>
      </c>
      <c r="B1780" s="1" t="s">
        <v>13</v>
      </c>
      <c r="C1780" t="s">
        <v>11</v>
      </c>
      <c r="D1780" t="s">
        <v>8</v>
      </c>
      <c r="E1780" t="s">
        <v>23</v>
      </c>
    </row>
    <row r="1781" spans="1:5" x14ac:dyDescent="0.3">
      <c r="A1781" t="s">
        <v>4</v>
      </c>
      <c r="B1781" s="1" t="s">
        <v>13</v>
      </c>
      <c r="C1781" t="s">
        <v>12</v>
      </c>
      <c r="D1781" t="s">
        <v>9</v>
      </c>
      <c r="E1781" t="s">
        <v>23</v>
      </c>
    </row>
    <row r="1782" spans="1:5" x14ac:dyDescent="0.3">
      <c r="A1782" t="s">
        <v>4</v>
      </c>
      <c r="B1782" s="1" t="s">
        <v>13</v>
      </c>
      <c r="C1782" t="s">
        <v>12</v>
      </c>
      <c r="D1782" t="s">
        <v>5</v>
      </c>
      <c r="E1782" t="s">
        <v>23</v>
      </c>
    </row>
    <row r="1783" spans="1:5" x14ac:dyDescent="0.3">
      <c r="A1783" t="s">
        <v>4</v>
      </c>
      <c r="B1783" s="1" t="s">
        <v>13</v>
      </c>
      <c r="C1783" t="s">
        <v>11</v>
      </c>
      <c r="D1783" t="s">
        <v>6</v>
      </c>
      <c r="E1783" t="s">
        <v>23</v>
      </c>
    </row>
    <row r="1784" spans="1:5" x14ac:dyDescent="0.3">
      <c r="A1784" t="s">
        <v>4</v>
      </c>
      <c r="B1784" s="1" t="s">
        <v>13</v>
      </c>
      <c r="C1784" t="s">
        <v>11</v>
      </c>
      <c r="D1784" t="s">
        <v>7</v>
      </c>
      <c r="E1784" t="s">
        <v>23</v>
      </c>
    </row>
    <row r="1785" spans="1:5" x14ac:dyDescent="0.3">
      <c r="A1785" t="s">
        <v>4</v>
      </c>
      <c r="B1785" s="1" t="s">
        <v>13</v>
      </c>
      <c r="C1785" t="s">
        <v>11</v>
      </c>
      <c r="D1785" t="s">
        <v>8</v>
      </c>
      <c r="E1785" t="s">
        <v>23</v>
      </c>
    </row>
    <row r="1786" spans="1:5" x14ac:dyDescent="0.3">
      <c r="A1786" t="s">
        <v>4</v>
      </c>
      <c r="B1786" s="1" t="s">
        <v>13</v>
      </c>
      <c r="C1786" t="s">
        <v>11</v>
      </c>
      <c r="D1786" t="s">
        <v>9</v>
      </c>
      <c r="E1786" t="s">
        <v>23</v>
      </c>
    </row>
    <row r="1787" spans="1:5" x14ac:dyDescent="0.3">
      <c r="A1787" t="s">
        <v>4</v>
      </c>
      <c r="B1787" s="1" t="s">
        <v>13</v>
      </c>
      <c r="C1787" t="s">
        <v>12</v>
      </c>
      <c r="D1787" t="s">
        <v>5</v>
      </c>
      <c r="E1787" t="s">
        <v>23</v>
      </c>
    </row>
    <row r="1788" spans="1:5" x14ac:dyDescent="0.3">
      <c r="A1788" t="s">
        <v>4</v>
      </c>
      <c r="B1788" s="1" t="s">
        <v>13</v>
      </c>
      <c r="C1788" t="s">
        <v>12</v>
      </c>
      <c r="D1788" t="s">
        <v>6</v>
      </c>
      <c r="E1788" t="s">
        <v>23</v>
      </c>
    </row>
    <row r="1789" spans="1:5" x14ac:dyDescent="0.3">
      <c r="A1789" t="s">
        <v>4</v>
      </c>
      <c r="B1789" s="1" t="s">
        <v>13</v>
      </c>
      <c r="C1789" t="s">
        <v>12</v>
      </c>
      <c r="D1789" t="s">
        <v>7</v>
      </c>
      <c r="E1789" t="s">
        <v>23</v>
      </c>
    </row>
    <row r="1790" spans="1:5" x14ac:dyDescent="0.3">
      <c r="A1790" t="s">
        <v>4</v>
      </c>
      <c r="B1790" s="1" t="s">
        <v>13</v>
      </c>
      <c r="C1790" t="s">
        <v>11</v>
      </c>
      <c r="D1790" t="s">
        <v>8</v>
      </c>
      <c r="E1790" t="s">
        <v>23</v>
      </c>
    </row>
    <row r="1791" spans="1:5" x14ac:dyDescent="0.3">
      <c r="A1791" t="s">
        <v>4</v>
      </c>
      <c r="B1791" s="1" t="s">
        <v>13</v>
      </c>
      <c r="C1791" t="s">
        <v>12</v>
      </c>
      <c r="D1791" t="s">
        <v>9</v>
      </c>
      <c r="E1791" t="s">
        <v>23</v>
      </c>
    </row>
    <row r="1792" spans="1:5" x14ac:dyDescent="0.3">
      <c r="A1792" t="s">
        <v>4</v>
      </c>
      <c r="B1792" s="1" t="s">
        <v>13</v>
      </c>
      <c r="C1792" t="s">
        <v>12</v>
      </c>
      <c r="D1792" t="s">
        <v>5</v>
      </c>
      <c r="E1792" t="s">
        <v>23</v>
      </c>
    </row>
    <row r="1793" spans="1:5" x14ac:dyDescent="0.3">
      <c r="A1793" t="s">
        <v>4</v>
      </c>
      <c r="B1793" s="1" t="s">
        <v>13</v>
      </c>
      <c r="C1793" t="s">
        <v>12</v>
      </c>
      <c r="D1793" t="s">
        <v>6</v>
      </c>
      <c r="E1793" t="s">
        <v>23</v>
      </c>
    </row>
    <row r="1794" spans="1:5" x14ac:dyDescent="0.3">
      <c r="A1794" t="s">
        <v>4</v>
      </c>
      <c r="B1794" s="1" t="s">
        <v>13</v>
      </c>
      <c r="C1794" t="s">
        <v>12</v>
      </c>
      <c r="D1794" t="s">
        <v>7</v>
      </c>
      <c r="E1794" t="s">
        <v>23</v>
      </c>
    </row>
    <row r="1795" spans="1:5" x14ac:dyDescent="0.3">
      <c r="A1795" t="s">
        <v>4</v>
      </c>
      <c r="B1795" s="1" t="s">
        <v>13</v>
      </c>
      <c r="C1795" t="s">
        <v>11</v>
      </c>
      <c r="D1795" t="s">
        <v>8</v>
      </c>
      <c r="E1795" t="s">
        <v>23</v>
      </c>
    </row>
    <row r="1796" spans="1:5" x14ac:dyDescent="0.3">
      <c r="A1796" t="s">
        <v>4</v>
      </c>
      <c r="B1796" s="1" t="s">
        <v>13</v>
      </c>
      <c r="C1796" t="s">
        <v>11</v>
      </c>
      <c r="D1796" t="s">
        <v>9</v>
      </c>
      <c r="E1796" t="s">
        <v>23</v>
      </c>
    </row>
    <row r="1797" spans="1:5" x14ac:dyDescent="0.3">
      <c r="A1797" t="s">
        <v>4</v>
      </c>
      <c r="B1797" s="1" t="s">
        <v>13</v>
      </c>
      <c r="C1797" t="s">
        <v>12</v>
      </c>
      <c r="D1797" t="s">
        <v>5</v>
      </c>
      <c r="E1797" t="s">
        <v>23</v>
      </c>
    </row>
    <row r="1798" spans="1:5" x14ac:dyDescent="0.3">
      <c r="A1798" t="s">
        <v>4</v>
      </c>
      <c r="B1798" s="1" t="s">
        <v>13</v>
      </c>
      <c r="C1798" t="s">
        <v>12</v>
      </c>
      <c r="D1798" t="s">
        <v>6</v>
      </c>
      <c r="E1798" t="s">
        <v>23</v>
      </c>
    </row>
    <row r="1799" spans="1:5" x14ac:dyDescent="0.3">
      <c r="A1799" t="s">
        <v>4</v>
      </c>
      <c r="B1799" s="1" t="s">
        <v>13</v>
      </c>
      <c r="C1799" t="s">
        <v>11</v>
      </c>
      <c r="D1799" t="s">
        <v>7</v>
      </c>
      <c r="E1799" t="s">
        <v>23</v>
      </c>
    </row>
    <row r="1800" spans="1:5" x14ac:dyDescent="0.3">
      <c r="A1800" t="s">
        <v>4</v>
      </c>
      <c r="B1800" s="1" t="s">
        <v>13</v>
      </c>
      <c r="C1800" t="s">
        <v>11</v>
      </c>
      <c r="D1800" t="s">
        <v>8</v>
      </c>
      <c r="E1800" t="s">
        <v>23</v>
      </c>
    </row>
    <row r="1801" spans="1:5" x14ac:dyDescent="0.3">
      <c r="A1801" t="s">
        <v>4</v>
      </c>
      <c r="B1801" s="1" t="s">
        <v>13</v>
      </c>
      <c r="C1801" t="s">
        <v>12</v>
      </c>
      <c r="D1801" t="s">
        <v>9</v>
      </c>
      <c r="E1801" t="s">
        <v>23</v>
      </c>
    </row>
    <row r="1802" spans="1:5" x14ac:dyDescent="0.3">
      <c r="A1802" t="s">
        <v>4</v>
      </c>
      <c r="B1802" s="1" t="s">
        <v>13</v>
      </c>
      <c r="C1802" t="s">
        <v>12</v>
      </c>
      <c r="D1802" t="s">
        <v>5</v>
      </c>
      <c r="E1802" t="s">
        <v>23</v>
      </c>
    </row>
    <row r="1803" spans="1:5" x14ac:dyDescent="0.3">
      <c r="A1803" t="s">
        <v>4</v>
      </c>
      <c r="B1803" s="1" t="s">
        <v>13</v>
      </c>
      <c r="C1803" t="s">
        <v>12</v>
      </c>
      <c r="D1803" t="s">
        <v>6</v>
      </c>
      <c r="E1803" t="s">
        <v>23</v>
      </c>
    </row>
    <row r="1804" spans="1:5" x14ac:dyDescent="0.3">
      <c r="A1804" t="s">
        <v>4</v>
      </c>
      <c r="B1804" s="1" t="s">
        <v>13</v>
      </c>
      <c r="C1804" t="s">
        <v>11</v>
      </c>
      <c r="D1804" t="s">
        <v>7</v>
      </c>
      <c r="E1804" t="s">
        <v>23</v>
      </c>
    </row>
    <row r="1805" spans="1:5" x14ac:dyDescent="0.3">
      <c r="A1805" t="s">
        <v>4</v>
      </c>
      <c r="B1805" s="1" t="s">
        <v>13</v>
      </c>
      <c r="C1805" t="s">
        <v>11</v>
      </c>
      <c r="D1805" t="s">
        <v>8</v>
      </c>
      <c r="E1805" t="s">
        <v>23</v>
      </c>
    </row>
    <row r="1806" spans="1:5" x14ac:dyDescent="0.3">
      <c r="A1806" t="s">
        <v>4</v>
      </c>
      <c r="B1806" s="1" t="s">
        <v>13</v>
      </c>
      <c r="C1806" t="s">
        <v>11</v>
      </c>
      <c r="D1806" t="s">
        <v>9</v>
      </c>
      <c r="E1806" t="s">
        <v>23</v>
      </c>
    </row>
    <row r="1807" spans="1:5" x14ac:dyDescent="0.3">
      <c r="A1807" t="s">
        <v>4</v>
      </c>
      <c r="B1807" s="1" t="s">
        <v>13</v>
      </c>
      <c r="C1807" t="s">
        <v>12</v>
      </c>
      <c r="D1807" t="s">
        <v>5</v>
      </c>
      <c r="E1807" t="s">
        <v>23</v>
      </c>
    </row>
    <row r="1808" spans="1:5" x14ac:dyDescent="0.3">
      <c r="A1808" t="s">
        <v>4</v>
      </c>
      <c r="B1808" s="1" t="s">
        <v>13</v>
      </c>
      <c r="C1808" t="s">
        <v>12</v>
      </c>
      <c r="D1808" t="s">
        <v>6</v>
      </c>
      <c r="E1808" t="s">
        <v>23</v>
      </c>
    </row>
    <row r="1809" spans="1:5" x14ac:dyDescent="0.3">
      <c r="A1809" t="s">
        <v>4</v>
      </c>
      <c r="B1809" s="1" t="s">
        <v>13</v>
      </c>
      <c r="C1809" t="s">
        <v>11</v>
      </c>
      <c r="D1809" t="s">
        <v>7</v>
      </c>
      <c r="E1809" t="s">
        <v>23</v>
      </c>
    </row>
    <row r="1810" spans="1:5" x14ac:dyDescent="0.3">
      <c r="A1810" t="s">
        <v>4</v>
      </c>
      <c r="B1810" s="1" t="s">
        <v>13</v>
      </c>
      <c r="C1810" t="s">
        <v>11</v>
      </c>
      <c r="D1810" t="s">
        <v>8</v>
      </c>
      <c r="E1810" t="s">
        <v>23</v>
      </c>
    </row>
    <row r="1811" spans="1:5" x14ac:dyDescent="0.3">
      <c r="A1811" t="s">
        <v>4</v>
      </c>
      <c r="B1811" s="1" t="s">
        <v>13</v>
      </c>
      <c r="C1811" t="s">
        <v>11</v>
      </c>
      <c r="D1811" t="s">
        <v>9</v>
      </c>
      <c r="E1811" t="s">
        <v>23</v>
      </c>
    </row>
    <row r="1812" spans="1:5" x14ac:dyDescent="0.3">
      <c r="A1812" t="s">
        <v>4</v>
      </c>
      <c r="B1812" s="1" t="s">
        <v>13</v>
      </c>
      <c r="C1812" t="s">
        <v>12</v>
      </c>
      <c r="D1812" t="s">
        <v>5</v>
      </c>
      <c r="E1812" t="s">
        <v>23</v>
      </c>
    </row>
    <row r="1813" spans="1:5" x14ac:dyDescent="0.3">
      <c r="A1813" t="s">
        <v>4</v>
      </c>
      <c r="B1813" s="1" t="s">
        <v>13</v>
      </c>
      <c r="C1813" t="s">
        <v>12</v>
      </c>
      <c r="D1813" t="s">
        <v>6</v>
      </c>
      <c r="E1813" t="s">
        <v>23</v>
      </c>
    </row>
    <row r="1814" spans="1:5" x14ac:dyDescent="0.3">
      <c r="A1814" t="s">
        <v>4</v>
      </c>
      <c r="B1814" s="1" t="s">
        <v>13</v>
      </c>
      <c r="C1814" t="s">
        <v>11</v>
      </c>
      <c r="D1814" t="s">
        <v>7</v>
      </c>
      <c r="E1814" t="s">
        <v>23</v>
      </c>
    </row>
    <row r="1815" spans="1:5" x14ac:dyDescent="0.3">
      <c r="A1815" t="s">
        <v>4</v>
      </c>
      <c r="B1815" s="1" t="s">
        <v>13</v>
      </c>
      <c r="C1815" t="s">
        <v>11</v>
      </c>
      <c r="D1815" t="s">
        <v>8</v>
      </c>
      <c r="E1815" t="s">
        <v>23</v>
      </c>
    </row>
    <row r="1816" spans="1:5" x14ac:dyDescent="0.3">
      <c r="A1816" t="s">
        <v>4</v>
      </c>
      <c r="B1816" s="1" t="s">
        <v>13</v>
      </c>
      <c r="C1816" t="s">
        <v>11</v>
      </c>
      <c r="D1816" t="s">
        <v>9</v>
      </c>
      <c r="E1816" t="s">
        <v>23</v>
      </c>
    </row>
    <row r="1817" spans="1:5" x14ac:dyDescent="0.3">
      <c r="A1817" t="s">
        <v>4</v>
      </c>
      <c r="B1817" s="1" t="s">
        <v>13</v>
      </c>
      <c r="C1817" t="s">
        <v>12</v>
      </c>
      <c r="D1817" t="s">
        <v>5</v>
      </c>
      <c r="E1817" t="s">
        <v>23</v>
      </c>
    </row>
    <row r="1818" spans="1:5" x14ac:dyDescent="0.3">
      <c r="A1818" t="s">
        <v>4</v>
      </c>
      <c r="B1818" s="1" t="s">
        <v>13</v>
      </c>
      <c r="C1818" t="s">
        <v>12</v>
      </c>
      <c r="D1818" t="s">
        <v>6</v>
      </c>
      <c r="E1818" t="s">
        <v>23</v>
      </c>
    </row>
    <row r="1819" spans="1:5" x14ac:dyDescent="0.3">
      <c r="A1819" t="s">
        <v>4</v>
      </c>
      <c r="B1819" s="1" t="s">
        <v>13</v>
      </c>
      <c r="C1819" t="s">
        <v>11</v>
      </c>
      <c r="D1819" t="s">
        <v>7</v>
      </c>
      <c r="E1819" t="s">
        <v>23</v>
      </c>
    </row>
    <row r="1820" spans="1:5" x14ac:dyDescent="0.3">
      <c r="A1820" t="s">
        <v>4</v>
      </c>
      <c r="B1820" s="1" t="s">
        <v>13</v>
      </c>
      <c r="C1820" t="s">
        <v>11</v>
      </c>
      <c r="D1820" t="s">
        <v>8</v>
      </c>
      <c r="E1820" t="s">
        <v>23</v>
      </c>
    </row>
    <row r="1821" spans="1:5" x14ac:dyDescent="0.3">
      <c r="A1821" t="s">
        <v>4</v>
      </c>
      <c r="B1821" s="1" t="s">
        <v>13</v>
      </c>
      <c r="C1821" t="s">
        <v>11</v>
      </c>
      <c r="D1821" t="s">
        <v>9</v>
      </c>
      <c r="E1821" t="s">
        <v>23</v>
      </c>
    </row>
    <row r="1822" spans="1:5" x14ac:dyDescent="0.3">
      <c r="A1822" t="s">
        <v>4</v>
      </c>
      <c r="B1822" s="1" t="s">
        <v>13</v>
      </c>
      <c r="C1822" t="s">
        <v>12</v>
      </c>
      <c r="D1822" t="s">
        <v>5</v>
      </c>
      <c r="E1822" t="s">
        <v>23</v>
      </c>
    </row>
    <row r="1823" spans="1:5" x14ac:dyDescent="0.3">
      <c r="A1823" t="s">
        <v>4</v>
      </c>
      <c r="B1823" s="1" t="s">
        <v>13</v>
      </c>
      <c r="C1823" t="s">
        <v>12</v>
      </c>
      <c r="D1823" t="s">
        <v>6</v>
      </c>
      <c r="E1823" t="s">
        <v>23</v>
      </c>
    </row>
    <row r="1824" spans="1:5" x14ac:dyDescent="0.3">
      <c r="A1824" t="s">
        <v>4</v>
      </c>
      <c r="B1824" s="1" t="s">
        <v>13</v>
      </c>
      <c r="C1824" t="s">
        <v>11</v>
      </c>
      <c r="D1824" t="s">
        <v>7</v>
      </c>
      <c r="E1824" t="s">
        <v>23</v>
      </c>
    </row>
    <row r="1825" spans="1:5" x14ac:dyDescent="0.3">
      <c r="A1825" t="s">
        <v>4</v>
      </c>
      <c r="B1825" s="1" t="s">
        <v>13</v>
      </c>
      <c r="C1825" t="s">
        <v>11</v>
      </c>
      <c r="D1825" t="s">
        <v>8</v>
      </c>
      <c r="E1825" t="s">
        <v>23</v>
      </c>
    </row>
    <row r="1826" spans="1:5" x14ac:dyDescent="0.3">
      <c r="A1826" t="s">
        <v>4</v>
      </c>
      <c r="B1826" s="1" t="s">
        <v>13</v>
      </c>
      <c r="C1826" t="s">
        <v>12</v>
      </c>
      <c r="D1826" t="s">
        <v>9</v>
      </c>
      <c r="E1826" t="s">
        <v>23</v>
      </c>
    </row>
    <row r="1827" spans="1:5" x14ac:dyDescent="0.3">
      <c r="A1827" t="s">
        <v>4</v>
      </c>
      <c r="B1827" s="1" t="s">
        <v>13</v>
      </c>
      <c r="C1827" t="s">
        <v>12</v>
      </c>
      <c r="D1827" t="s">
        <v>5</v>
      </c>
      <c r="E1827" t="s">
        <v>23</v>
      </c>
    </row>
    <row r="1828" spans="1:5" x14ac:dyDescent="0.3">
      <c r="A1828" t="s">
        <v>4</v>
      </c>
      <c r="B1828" s="1" t="s">
        <v>13</v>
      </c>
      <c r="C1828" t="s">
        <v>12</v>
      </c>
      <c r="D1828" t="s">
        <v>6</v>
      </c>
      <c r="E1828" t="s">
        <v>23</v>
      </c>
    </row>
    <row r="1829" spans="1:5" x14ac:dyDescent="0.3">
      <c r="A1829" t="s">
        <v>4</v>
      </c>
      <c r="B1829" s="1" t="s">
        <v>13</v>
      </c>
      <c r="C1829" t="s">
        <v>11</v>
      </c>
      <c r="D1829" t="s">
        <v>7</v>
      </c>
      <c r="E1829" t="s">
        <v>23</v>
      </c>
    </row>
    <row r="1830" spans="1:5" x14ac:dyDescent="0.3">
      <c r="A1830" t="s">
        <v>4</v>
      </c>
      <c r="B1830" s="1" t="s">
        <v>13</v>
      </c>
      <c r="C1830" t="s">
        <v>11</v>
      </c>
      <c r="D1830" t="s">
        <v>8</v>
      </c>
      <c r="E1830" t="s">
        <v>23</v>
      </c>
    </row>
    <row r="1831" spans="1:5" x14ac:dyDescent="0.3">
      <c r="A1831" t="s">
        <v>4</v>
      </c>
      <c r="B1831" s="1" t="s">
        <v>13</v>
      </c>
      <c r="C1831" t="s">
        <v>11</v>
      </c>
      <c r="D1831" t="s">
        <v>9</v>
      </c>
      <c r="E1831" t="s">
        <v>23</v>
      </c>
    </row>
    <row r="1832" spans="1:5" x14ac:dyDescent="0.3">
      <c r="A1832" t="s">
        <v>4</v>
      </c>
      <c r="B1832" s="1" t="s">
        <v>13</v>
      </c>
      <c r="C1832" t="s">
        <v>12</v>
      </c>
      <c r="D1832" t="s">
        <v>5</v>
      </c>
      <c r="E1832" t="s">
        <v>23</v>
      </c>
    </row>
    <row r="1833" spans="1:5" x14ac:dyDescent="0.3">
      <c r="A1833" t="s">
        <v>4</v>
      </c>
      <c r="B1833" s="1" t="s">
        <v>13</v>
      </c>
      <c r="C1833" t="s">
        <v>12</v>
      </c>
      <c r="D1833" t="s">
        <v>6</v>
      </c>
      <c r="E1833" t="s">
        <v>23</v>
      </c>
    </row>
    <row r="1834" spans="1:5" x14ac:dyDescent="0.3">
      <c r="A1834" t="s">
        <v>4</v>
      </c>
      <c r="B1834" s="1" t="s">
        <v>13</v>
      </c>
      <c r="C1834" t="s">
        <v>11</v>
      </c>
      <c r="D1834" t="s">
        <v>7</v>
      </c>
      <c r="E1834" t="s">
        <v>23</v>
      </c>
    </row>
    <row r="1835" spans="1:5" x14ac:dyDescent="0.3">
      <c r="A1835" t="s">
        <v>4</v>
      </c>
      <c r="B1835" s="1" t="s">
        <v>13</v>
      </c>
      <c r="C1835" t="s">
        <v>11</v>
      </c>
      <c r="D1835" t="s">
        <v>8</v>
      </c>
      <c r="E1835" t="s">
        <v>23</v>
      </c>
    </row>
    <row r="1836" spans="1:5" x14ac:dyDescent="0.3">
      <c r="A1836" t="s">
        <v>4</v>
      </c>
      <c r="B1836" s="1" t="s">
        <v>13</v>
      </c>
      <c r="C1836" t="s">
        <v>11</v>
      </c>
      <c r="D1836" t="s">
        <v>9</v>
      </c>
      <c r="E1836" t="s">
        <v>23</v>
      </c>
    </row>
    <row r="1837" spans="1:5" x14ac:dyDescent="0.3">
      <c r="A1837" t="s">
        <v>4</v>
      </c>
      <c r="B1837" s="1" t="s">
        <v>13</v>
      </c>
      <c r="C1837" t="s">
        <v>12</v>
      </c>
      <c r="D1837" t="s">
        <v>5</v>
      </c>
      <c r="E1837" t="s">
        <v>23</v>
      </c>
    </row>
    <row r="1838" spans="1:5" x14ac:dyDescent="0.3">
      <c r="A1838" t="s">
        <v>4</v>
      </c>
      <c r="B1838" s="1" t="s">
        <v>13</v>
      </c>
      <c r="C1838" t="s">
        <v>12</v>
      </c>
      <c r="D1838" t="s">
        <v>6</v>
      </c>
      <c r="E1838" t="s">
        <v>23</v>
      </c>
    </row>
    <row r="1839" spans="1:5" x14ac:dyDescent="0.3">
      <c r="A1839" t="s">
        <v>4</v>
      </c>
      <c r="B1839" s="1" t="s">
        <v>13</v>
      </c>
      <c r="C1839" t="s">
        <v>11</v>
      </c>
      <c r="D1839" t="s">
        <v>7</v>
      </c>
      <c r="E1839" t="s">
        <v>23</v>
      </c>
    </row>
    <row r="1840" spans="1:5" x14ac:dyDescent="0.3">
      <c r="A1840" t="s">
        <v>4</v>
      </c>
      <c r="B1840" s="1" t="s">
        <v>13</v>
      </c>
      <c r="C1840" t="s">
        <v>11</v>
      </c>
      <c r="D1840" t="s">
        <v>8</v>
      </c>
      <c r="E1840" t="s">
        <v>23</v>
      </c>
    </row>
    <row r="1841" spans="1:5" x14ac:dyDescent="0.3">
      <c r="A1841" t="s">
        <v>4</v>
      </c>
      <c r="B1841" s="1" t="s">
        <v>13</v>
      </c>
      <c r="C1841" t="s">
        <v>11</v>
      </c>
      <c r="D1841" t="s">
        <v>9</v>
      </c>
      <c r="E1841" t="s">
        <v>23</v>
      </c>
    </row>
    <row r="1842" spans="1:5" x14ac:dyDescent="0.3">
      <c r="A1842" t="s">
        <v>4</v>
      </c>
      <c r="B1842" s="1" t="s">
        <v>13</v>
      </c>
      <c r="C1842" t="s">
        <v>12</v>
      </c>
      <c r="D1842" t="s">
        <v>5</v>
      </c>
      <c r="E1842" t="s">
        <v>23</v>
      </c>
    </row>
    <row r="1843" spans="1:5" x14ac:dyDescent="0.3">
      <c r="A1843" t="s">
        <v>4</v>
      </c>
      <c r="B1843" s="1" t="s">
        <v>13</v>
      </c>
      <c r="C1843" t="s">
        <v>12</v>
      </c>
      <c r="D1843" t="s">
        <v>6</v>
      </c>
      <c r="E1843" t="s">
        <v>23</v>
      </c>
    </row>
    <row r="1844" spans="1:5" x14ac:dyDescent="0.3">
      <c r="A1844" t="s">
        <v>4</v>
      </c>
      <c r="B1844" s="1" t="s">
        <v>13</v>
      </c>
      <c r="C1844" t="s">
        <v>11</v>
      </c>
      <c r="D1844" t="s">
        <v>7</v>
      </c>
      <c r="E1844" t="s">
        <v>23</v>
      </c>
    </row>
    <row r="1845" spans="1:5" x14ac:dyDescent="0.3">
      <c r="A1845" t="s">
        <v>4</v>
      </c>
      <c r="B1845" s="1" t="s">
        <v>13</v>
      </c>
      <c r="C1845" t="s">
        <v>11</v>
      </c>
      <c r="D1845" t="s">
        <v>8</v>
      </c>
      <c r="E1845" t="s">
        <v>23</v>
      </c>
    </row>
    <row r="1846" spans="1:5" x14ac:dyDescent="0.3">
      <c r="A1846" t="s">
        <v>4</v>
      </c>
      <c r="B1846" s="1" t="s">
        <v>13</v>
      </c>
      <c r="C1846" t="s">
        <v>11</v>
      </c>
      <c r="D1846" t="s">
        <v>9</v>
      </c>
      <c r="E1846" t="s">
        <v>23</v>
      </c>
    </row>
    <row r="1847" spans="1:5" x14ac:dyDescent="0.3">
      <c r="A1847" t="s">
        <v>4</v>
      </c>
      <c r="B1847" s="1" t="s">
        <v>13</v>
      </c>
      <c r="C1847" t="s">
        <v>12</v>
      </c>
      <c r="D1847" t="s">
        <v>5</v>
      </c>
      <c r="E1847" t="s">
        <v>23</v>
      </c>
    </row>
    <row r="1848" spans="1:5" x14ac:dyDescent="0.3">
      <c r="A1848" t="s">
        <v>4</v>
      </c>
      <c r="B1848" s="1" t="s">
        <v>13</v>
      </c>
      <c r="C1848" t="s">
        <v>12</v>
      </c>
      <c r="D1848" t="s">
        <v>6</v>
      </c>
      <c r="E1848" t="s">
        <v>23</v>
      </c>
    </row>
    <row r="1849" spans="1:5" x14ac:dyDescent="0.3">
      <c r="A1849" t="s">
        <v>4</v>
      </c>
      <c r="B1849" s="1" t="s">
        <v>13</v>
      </c>
      <c r="C1849" t="s">
        <v>11</v>
      </c>
      <c r="D1849" t="s">
        <v>7</v>
      </c>
      <c r="E1849" t="s">
        <v>23</v>
      </c>
    </row>
    <row r="1850" spans="1:5" x14ac:dyDescent="0.3">
      <c r="A1850" t="s">
        <v>4</v>
      </c>
      <c r="B1850" s="1" t="s">
        <v>13</v>
      </c>
      <c r="C1850" t="s">
        <v>11</v>
      </c>
      <c r="D1850" t="s">
        <v>8</v>
      </c>
      <c r="E1850" t="s">
        <v>23</v>
      </c>
    </row>
    <row r="1851" spans="1:5" x14ac:dyDescent="0.3">
      <c r="A1851" t="s">
        <v>4</v>
      </c>
      <c r="B1851" s="1" t="s">
        <v>13</v>
      </c>
      <c r="C1851" t="s">
        <v>11</v>
      </c>
      <c r="D1851" t="s">
        <v>9</v>
      </c>
      <c r="E1851" t="s">
        <v>23</v>
      </c>
    </row>
    <row r="1852" spans="1:5" x14ac:dyDescent="0.3">
      <c r="A1852" t="s">
        <v>4</v>
      </c>
      <c r="B1852" s="1" t="s">
        <v>13</v>
      </c>
      <c r="C1852" t="s">
        <v>12</v>
      </c>
      <c r="D1852" t="s">
        <v>5</v>
      </c>
      <c r="E1852" t="s">
        <v>24</v>
      </c>
    </row>
    <row r="1853" spans="1:5" x14ac:dyDescent="0.3">
      <c r="A1853" t="s">
        <v>4</v>
      </c>
      <c r="B1853" s="1" t="s">
        <v>13</v>
      </c>
      <c r="C1853" t="s">
        <v>12</v>
      </c>
      <c r="D1853" t="s">
        <v>6</v>
      </c>
      <c r="E1853" t="s">
        <v>24</v>
      </c>
    </row>
    <row r="1854" spans="1:5" x14ac:dyDescent="0.3">
      <c r="A1854" t="s">
        <v>4</v>
      </c>
      <c r="B1854" s="1" t="s">
        <v>13</v>
      </c>
      <c r="C1854" t="s">
        <v>11</v>
      </c>
      <c r="D1854" t="s">
        <v>7</v>
      </c>
      <c r="E1854" t="s">
        <v>24</v>
      </c>
    </row>
    <row r="1855" spans="1:5" x14ac:dyDescent="0.3">
      <c r="A1855" t="s">
        <v>4</v>
      </c>
      <c r="B1855" s="1" t="s">
        <v>13</v>
      </c>
      <c r="C1855" t="s">
        <v>10</v>
      </c>
      <c r="D1855" t="s">
        <v>8</v>
      </c>
      <c r="E1855" t="s">
        <v>24</v>
      </c>
    </row>
    <row r="1856" spans="1:5" x14ac:dyDescent="0.3">
      <c r="A1856" t="s">
        <v>4</v>
      </c>
      <c r="B1856" s="1" t="s">
        <v>13</v>
      </c>
      <c r="C1856" t="s">
        <v>11</v>
      </c>
      <c r="D1856" t="s">
        <v>9</v>
      </c>
      <c r="E1856" t="s">
        <v>24</v>
      </c>
    </row>
    <row r="1857" spans="1:5" x14ac:dyDescent="0.3">
      <c r="A1857" t="s">
        <v>4</v>
      </c>
      <c r="B1857" s="1" t="s">
        <v>13</v>
      </c>
      <c r="C1857" t="s">
        <v>12</v>
      </c>
      <c r="D1857" t="s">
        <v>5</v>
      </c>
      <c r="E1857" t="s">
        <v>24</v>
      </c>
    </row>
    <row r="1858" spans="1:5" x14ac:dyDescent="0.3">
      <c r="A1858" t="s">
        <v>4</v>
      </c>
      <c r="B1858" s="1" t="s">
        <v>13</v>
      </c>
      <c r="C1858" t="s">
        <v>12</v>
      </c>
      <c r="D1858" t="s">
        <v>6</v>
      </c>
      <c r="E1858" t="s">
        <v>24</v>
      </c>
    </row>
    <row r="1859" spans="1:5" x14ac:dyDescent="0.3">
      <c r="A1859" t="s">
        <v>4</v>
      </c>
      <c r="B1859" s="1" t="s">
        <v>13</v>
      </c>
      <c r="C1859" t="s">
        <v>12</v>
      </c>
      <c r="D1859" t="s">
        <v>7</v>
      </c>
      <c r="E1859" t="s">
        <v>24</v>
      </c>
    </row>
    <row r="1860" spans="1:5" x14ac:dyDescent="0.3">
      <c r="A1860" t="s">
        <v>4</v>
      </c>
      <c r="B1860" s="1" t="s">
        <v>13</v>
      </c>
      <c r="C1860" t="s">
        <v>10</v>
      </c>
      <c r="D1860" t="s">
        <v>8</v>
      </c>
      <c r="E1860" t="s">
        <v>24</v>
      </c>
    </row>
    <row r="1861" spans="1:5" x14ac:dyDescent="0.3">
      <c r="A1861" t="s">
        <v>4</v>
      </c>
      <c r="B1861" s="1" t="s">
        <v>13</v>
      </c>
      <c r="C1861" t="s">
        <v>11</v>
      </c>
      <c r="D1861" t="s">
        <v>9</v>
      </c>
      <c r="E1861" t="s">
        <v>24</v>
      </c>
    </row>
    <row r="1862" spans="1:5" x14ac:dyDescent="0.3">
      <c r="A1862" t="s">
        <v>4</v>
      </c>
      <c r="B1862" s="1" t="s">
        <v>13</v>
      </c>
      <c r="C1862" t="s">
        <v>12</v>
      </c>
      <c r="D1862" t="s">
        <v>5</v>
      </c>
      <c r="E1862" t="s">
        <v>24</v>
      </c>
    </row>
    <row r="1863" spans="1:5" x14ac:dyDescent="0.3">
      <c r="A1863" t="s">
        <v>4</v>
      </c>
      <c r="B1863" s="1" t="s">
        <v>13</v>
      </c>
      <c r="C1863" t="s">
        <v>11</v>
      </c>
      <c r="D1863" t="s">
        <v>6</v>
      </c>
      <c r="E1863" t="s">
        <v>24</v>
      </c>
    </row>
    <row r="1864" spans="1:5" x14ac:dyDescent="0.3">
      <c r="A1864" t="s">
        <v>4</v>
      </c>
      <c r="B1864" s="1" t="s">
        <v>13</v>
      </c>
      <c r="C1864" t="s">
        <v>12</v>
      </c>
      <c r="D1864" t="s">
        <v>7</v>
      </c>
      <c r="E1864" t="s">
        <v>24</v>
      </c>
    </row>
    <row r="1865" spans="1:5" x14ac:dyDescent="0.3">
      <c r="A1865" t="s">
        <v>4</v>
      </c>
      <c r="B1865" s="1" t="s">
        <v>13</v>
      </c>
      <c r="C1865" t="s">
        <v>10</v>
      </c>
      <c r="D1865" t="s">
        <v>8</v>
      </c>
      <c r="E1865" t="s">
        <v>24</v>
      </c>
    </row>
    <row r="1866" spans="1:5" x14ac:dyDescent="0.3">
      <c r="A1866" t="s">
        <v>4</v>
      </c>
      <c r="B1866" s="1" t="s">
        <v>13</v>
      </c>
      <c r="C1866" t="s">
        <v>12</v>
      </c>
      <c r="D1866" t="s">
        <v>9</v>
      </c>
      <c r="E1866" t="s">
        <v>24</v>
      </c>
    </row>
    <row r="1867" spans="1:5" x14ac:dyDescent="0.3">
      <c r="A1867" t="s">
        <v>4</v>
      </c>
      <c r="B1867" s="1" t="s">
        <v>13</v>
      </c>
      <c r="C1867" t="s">
        <v>12</v>
      </c>
      <c r="D1867" t="s">
        <v>5</v>
      </c>
      <c r="E1867" t="s">
        <v>24</v>
      </c>
    </row>
    <row r="1868" spans="1:5" x14ac:dyDescent="0.3">
      <c r="A1868" t="s">
        <v>4</v>
      </c>
      <c r="B1868" s="1" t="s">
        <v>13</v>
      </c>
      <c r="C1868" t="s">
        <v>11</v>
      </c>
      <c r="D1868" t="s">
        <v>6</v>
      </c>
      <c r="E1868" t="s">
        <v>24</v>
      </c>
    </row>
    <row r="1869" spans="1:5" x14ac:dyDescent="0.3">
      <c r="A1869" t="s">
        <v>4</v>
      </c>
      <c r="B1869" s="1" t="s">
        <v>13</v>
      </c>
      <c r="C1869" t="s">
        <v>11</v>
      </c>
      <c r="D1869" t="s">
        <v>7</v>
      </c>
      <c r="E1869" t="s">
        <v>24</v>
      </c>
    </row>
    <row r="1870" spans="1:5" x14ac:dyDescent="0.3">
      <c r="A1870" t="s">
        <v>4</v>
      </c>
      <c r="B1870" s="1" t="s">
        <v>13</v>
      </c>
      <c r="C1870" t="s">
        <v>10</v>
      </c>
      <c r="D1870" t="s">
        <v>8</v>
      </c>
      <c r="E1870" t="s">
        <v>24</v>
      </c>
    </row>
    <row r="1871" spans="1:5" x14ac:dyDescent="0.3">
      <c r="A1871" t="s">
        <v>4</v>
      </c>
      <c r="B1871" s="1" t="s">
        <v>13</v>
      </c>
      <c r="C1871" t="s">
        <v>11</v>
      </c>
      <c r="D1871" t="s">
        <v>9</v>
      </c>
      <c r="E1871" t="s">
        <v>24</v>
      </c>
    </row>
    <row r="1872" spans="1:5" x14ac:dyDescent="0.3">
      <c r="A1872" t="s">
        <v>4</v>
      </c>
      <c r="B1872" s="1" t="s">
        <v>13</v>
      </c>
      <c r="C1872" t="s">
        <v>11</v>
      </c>
      <c r="D1872" t="s">
        <v>5</v>
      </c>
      <c r="E1872" t="s">
        <v>24</v>
      </c>
    </row>
    <row r="1873" spans="1:5" x14ac:dyDescent="0.3">
      <c r="A1873" t="s">
        <v>4</v>
      </c>
      <c r="B1873" s="1" t="s">
        <v>13</v>
      </c>
      <c r="C1873" t="s">
        <v>11</v>
      </c>
      <c r="D1873" t="s">
        <v>6</v>
      </c>
      <c r="E1873" t="s">
        <v>24</v>
      </c>
    </row>
    <row r="1874" spans="1:5" x14ac:dyDescent="0.3">
      <c r="A1874" t="s">
        <v>4</v>
      </c>
      <c r="B1874" s="1" t="s">
        <v>13</v>
      </c>
      <c r="C1874" t="s">
        <v>11</v>
      </c>
      <c r="D1874" t="s">
        <v>7</v>
      </c>
      <c r="E1874" t="s">
        <v>24</v>
      </c>
    </row>
    <row r="1875" spans="1:5" x14ac:dyDescent="0.3">
      <c r="A1875" t="s">
        <v>4</v>
      </c>
      <c r="B1875" s="1" t="s">
        <v>13</v>
      </c>
      <c r="C1875" t="s">
        <v>10</v>
      </c>
      <c r="D1875" t="s">
        <v>8</v>
      </c>
      <c r="E1875" t="s">
        <v>24</v>
      </c>
    </row>
    <row r="1876" spans="1:5" x14ac:dyDescent="0.3">
      <c r="A1876" t="s">
        <v>4</v>
      </c>
      <c r="B1876" s="1" t="s">
        <v>13</v>
      </c>
      <c r="C1876" t="s">
        <v>11</v>
      </c>
      <c r="D1876" t="s">
        <v>9</v>
      </c>
      <c r="E1876" t="s">
        <v>24</v>
      </c>
    </row>
    <row r="1877" spans="1:5" x14ac:dyDescent="0.3">
      <c r="A1877" t="s">
        <v>4</v>
      </c>
      <c r="B1877" s="1" t="s">
        <v>13</v>
      </c>
      <c r="C1877" t="s">
        <v>12</v>
      </c>
      <c r="D1877" t="s">
        <v>5</v>
      </c>
      <c r="E1877" t="s">
        <v>24</v>
      </c>
    </row>
    <row r="1878" spans="1:5" x14ac:dyDescent="0.3">
      <c r="A1878" t="s">
        <v>4</v>
      </c>
      <c r="B1878" s="1" t="s">
        <v>13</v>
      </c>
      <c r="C1878" t="s">
        <v>12</v>
      </c>
      <c r="D1878" t="s">
        <v>6</v>
      </c>
      <c r="E1878" t="s">
        <v>24</v>
      </c>
    </row>
    <row r="1879" spans="1:5" x14ac:dyDescent="0.3">
      <c r="A1879" t="s">
        <v>4</v>
      </c>
      <c r="B1879" s="1" t="s">
        <v>13</v>
      </c>
      <c r="C1879" t="s">
        <v>12</v>
      </c>
      <c r="D1879" t="s">
        <v>7</v>
      </c>
      <c r="E1879" t="s">
        <v>24</v>
      </c>
    </row>
    <row r="1880" spans="1:5" x14ac:dyDescent="0.3">
      <c r="A1880" t="s">
        <v>4</v>
      </c>
      <c r="B1880" s="1" t="s">
        <v>13</v>
      </c>
      <c r="C1880" t="s">
        <v>10</v>
      </c>
      <c r="D1880" t="s">
        <v>8</v>
      </c>
      <c r="E1880" t="s">
        <v>24</v>
      </c>
    </row>
    <row r="1881" spans="1:5" x14ac:dyDescent="0.3">
      <c r="A1881" t="s">
        <v>4</v>
      </c>
      <c r="B1881" s="1" t="s">
        <v>13</v>
      </c>
      <c r="C1881" t="s">
        <v>12</v>
      </c>
      <c r="D1881" t="s">
        <v>9</v>
      </c>
      <c r="E1881" t="s">
        <v>24</v>
      </c>
    </row>
    <row r="1882" spans="1:5" x14ac:dyDescent="0.3">
      <c r="A1882" t="s">
        <v>4</v>
      </c>
      <c r="B1882" s="1" t="s">
        <v>13</v>
      </c>
      <c r="C1882" t="s">
        <v>12</v>
      </c>
      <c r="D1882" t="s">
        <v>5</v>
      </c>
      <c r="E1882" t="s">
        <v>24</v>
      </c>
    </row>
    <row r="1883" spans="1:5" x14ac:dyDescent="0.3">
      <c r="A1883" t="s">
        <v>4</v>
      </c>
      <c r="B1883" s="1" t="s">
        <v>13</v>
      </c>
      <c r="C1883" t="s">
        <v>12</v>
      </c>
      <c r="D1883" t="s">
        <v>6</v>
      </c>
      <c r="E1883" t="s">
        <v>24</v>
      </c>
    </row>
    <row r="1884" spans="1:5" x14ac:dyDescent="0.3">
      <c r="A1884" t="s">
        <v>4</v>
      </c>
      <c r="B1884" s="1" t="s">
        <v>13</v>
      </c>
      <c r="C1884" t="s">
        <v>12</v>
      </c>
      <c r="D1884" t="s">
        <v>7</v>
      </c>
      <c r="E1884" t="s">
        <v>24</v>
      </c>
    </row>
    <row r="1885" spans="1:5" x14ac:dyDescent="0.3">
      <c r="A1885" t="s">
        <v>4</v>
      </c>
      <c r="B1885" s="1" t="s">
        <v>13</v>
      </c>
      <c r="C1885" t="s">
        <v>10</v>
      </c>
      <c r="D1885" t="s">
        <v>8</v>
      </c>
      <c r="E1885" t="s">
        <v>24</v>
      </c>
    </row>
    <row r="1886" spans="1:5" x14ac:dyDescent="0.3">
      <c r="A1886" t="s">
        <v>4</v>
      </c>
      <c r="B1886" s="1" t="s">
        <v>13</v>
      </c>
      <c r="C1886" t="s">
        <v>11</v>
      </c>
      <c r="D1886" t="s">
        <v>9</v>
      </c>
      <c r="E1886" t="s">
        <v>24</v>
      </c>
    </row>
    <row r="1887" spans="1:5" x14ac:dyDescent="0.3">
      <c r="A1887" t="s">
        <v>4</v>
      </c>
      <c r="B1887" s="1" t="s">
        <v>13</v>
      </c>
      <c r="C1887" t="s">
        <v>12</v>
      </c>
      <c r="D1887" t="s">
        <v>5</v>
      </c>
      <c r="E1887" t="s">
        <v>24</v>
      </c>
    </row>
    <row r="1888" spans="1:5" x14ac:dyDescent="0.3">
      <c r="A1888" t="s">
        <v>4</v>
      </c>
      <c r="B1888" s="1" t="s">
        <v>13</v>
      </c>
      <c r="C1888" t="s">
        <v>12</v>
      </c>
      <c r="D1888" t="s">
        <v>6</v>
      </c>
      <c r="E1888" t="s">
        <v>24</v>
      </c>
    </row>
    <row r="1889" spans="1:5" x14ac:dyDescent="0.3">
      <c r="A1889" t="s">
        <v>4</v>
      </c>
      <c r="B1889" s="1" t="s">
        <v>13</v>
      </c>
      <c r="C1889" t="s">
        <v>11</v>
      </c>
      <c r="D1889" t="s">
        <v>7</v>
      </c>
      <c r="E1889" t="s">
        <v>24</v>
      </c>
    </row>
    <row r="1890" spans="1:5" x14ac:dyDescent="0.3">
      <c r="A1890" t="s">
        <v>4</v>
      </c>
      <c r="B1890" s="1" t="s">
        <v>13</v>
      </c>
      <c r="C1890" t="s">
        <v>10</v>
      </c>
      <c r="D1890" t="s">
        <v>8</v>
      </c>
      <c r="E1890" t="s">
        <v>24</v>
      </c>
    </row>
    <row r="1891" spans="1:5" x14ac:dyDescent="0.3">
      <c r="A1891" t="s">
        <v>4</v>
      </c>
      <c r="B1891" s="1" t="s">
        <v>13</v>
      </c>
      <c r="C1891" t="s">
        <v>10</v>
      </c>
      <c r="D1891" t="s">
        <v>9</v>
      </c>
      <c r="E1891" t="s">
        <v>24</v>
      </c>
    </row>
    <row r="1892" spans="1:5" x14ac:dyDescent="0.3">
      <c r="A1892" t="s">
        <v>4</v>
      </c>
      <c r="B1892" s="1" t="s">
        <v>13</v>
      </c>
      <c r="C1892" t="s">
        <v>12</v>
      </c>
      <c r="D1892" t="s">
        <v>5</v>
      </c>
      <c r="E1892" t="s">
        <v>24</v>
      </c>
    </row>
    <row r="1893" spans="1:5" x14ac:dyDescent="0.3">
      <c r="A1893" t="s">
        <v>4</v>
      </c>
      <c r="B1893" s="1" t="s">
        <v>13</v>
      </c>
      <c r="C1893" t="s">
        <v>10</v>
      </c>
      <c r="D1893" t="s">
        <v>6</v>
      </c>
      <c r="E1893" t="s">
        <v>24</v>
      </c>
    </row>
    <row r="1894" spans="1:5" x14ac:dyDescent="0.3">
      <c r="A1894" t="s">
        <v>4</v>
      </c>
      <c r="B1894" s="1" t="s">
        <v>13</v>
      </c>
      <c r="C1894" t="s">
        <v>11</v>
      </c>
      <c r="D1894" t="s">
        <v>7</v>
      </c>
      <c r="E1894" t="s">
        <v>24</v>
      </c>
    </row>
    <row r="1895" spans="1:5" x14ac:dyDescent="0.3">
      <c r="A1895" t="s">
        <v>4</v>
      </c>
      <c r="B1895" s="1" t="s">
        <v>13</v>
      </c>
      <c r="C1895" t="s">
        <v>10</v>
      </c>
      <c r="D1895" t="s">
        <v>8</v>
      </c>
      <c r="E1895" t="s">
        <v>24</v>
      </c>
    </row>
    <row r="1896" spans="1:5" x14ac:dyDescent="0.3">
      <c r="A1896" t="s">
        <v>4</v>
      </c>
      <c r="B1896" s="1" t="s">
        <v>13</v>
      </c>
      <c r="C1896" t="s">
        <v>11</v>
      </c>
      <c r="D1896" t="s">
        <v>9</v>
      </c>
      <c r="E1896" t="s">
        <v>24</v>
      </c>
    </row>
    <row r="1897" spans="1:5" x14ac:dyDescent="0.3">
      <c r="A1897" t="s">
        <v>4</v>
      </c>
      <c r="B1897" s="1" t="s">
        <v>13</v>
      </c>
      <c r="C1897" t="s">
        <v>12</v>
      </c>
      <c r="D1897" t="s">
        <v>5</v>
      </c>
      <c r="E1897" t="s">
        <v>24</v>
      </c>
    </row>
    <row r="1898" spans="1:5" x14ac:dyDescent="0.3">
      <c r="A1898" t="s">
        <v>4</v>
      </c>
      <c r="B1898" s="1" t="s">
        <v>13</v>
      </c>
      <c r="C1898" t="s">
        <v>12</v>
      </c>
      <c r="D1898" t="s">
        <v>6</v>
      </c>
      <c r="E1898" t="s">
        <v>24</v>
      </c>
    </row>
    <row r="1899" spans="1:5" x14ac:dyDescent="0.3">
      <c r="A1899" t="s">
        <v>4</v>
      </c>
      <c r="B1899" s="1" t="s">
        <v>13</v>
      </c>
      <c r="C1899" t="s">
        <v>11</v>
      </c>
      <c r="D1899" t="s">
        <v>7</v>
      </c>
      <c r="E1899" t="s">
        <v>24</v>
      </c>
    </row>
    <row r="1900" spans="1:5" x14ac:dyDescent="0.3">
      <c r="A1900" t="s">
        <v>4</v>
      </c>
      <c r="B1900" s="1" t="s">
        <v>13</v>
      </c>
      <c r="C1900" t="s">
        <v>10</v>
      </c>
      <c r="D1900" t="s">
        <v>8</v>
      </c>
      <c r="E1900" t="s">
        <v>24</v>
      </c>
    </row>
    <row r="1901" spans="1:5" x14ac:dyDescent="0.3">
      <c r="A1901" t="s">
        <v>4</v>
      </c>
      <c r="B1901" s="1" t="s">
        <v>13</v>
      </c>
      <c r="C1901" t="s">
        <v>11</v>
      </c>
      <c r="D1901" t="s">
        <v>9</v>
      </c>
      <c r="E1901" t="s">
        <v>24</v>
      </c>
    </row>
    <row r="1902" spans="1:5" x14ac:dyDescent="0.3">
      <c r="A1902" t="s">
        <v>4</v>
      </c>
      <c r="B1902" s="1" t="s">
        <v>13</v>
      </c>
      <c r="C1902" t="s">
        <v>12</v>
      </c>
      <c r="D1902" t="s">
        <v>5</v>
      </c>
      <c r="E1902" t="s">
        <v>24</v>
      </c>
    </row>
    <row r="1903" spans="1:5" x14ac:dyDescent="0.3">
      <c r="A1903" t="s">
        <v>4</v>
      </c>
      <c r="B1903" s="1" t="s">
        <v>13</v>
      </c>
      <c r="C1903" t="s">
        <v>12</v>
      </c>
      <c r="D1903" t="s">
        <v>6</v>
      </c>
      <c r="E1903" t="s">
        <v>24</v>
      </c>
    </row>
    <row r="1904" spans="1:5" x14ac:dyDescent="0.3">
      <c r="A1904" t="s">
        <v>4</v>
      </c>
      <c r="B1904" s="1" t="s">
        <v>13</v>
      </c>
      <c r="C1904" t="s">
        <v>11</v>
      </c>
      <c r="D1904" t="s">
        <v>7</v>
      </c>
      <c r="E1904" t="s">
        <v>24</v>
      </c>
    </row>
    <row r="1905" spans="1:5" x14ac:dyDescent="0.3">
      <c r="A1905" t="s">
        <v>4</v>
      </c>
      <c r="B1905" s="1" t="s">
        <v>13</v>
      </c>
      <c r="C1905" t="s">
        <v>10</v>
      </c>
      <c r="D1905" t="s">
        <v>8</v>
      </c>
      <c r="E1905" t="s">
        <v>24</v>
      </c>
    </row>
    <row r="1906" spans="1:5" x14ac:dyDescent="0.3">
      <c r="A1906" t="s">
        <v>4</v>
      </c>
      <c r="B1906" s="1" t="s">
        <v>13</v>
      </c>
      <c r="C1906" t="s">
        <v>11</v>
      </c>
      <c r="D1906" t="s">
        <v>9</v>
      </c>
      <c r="E1906" t="s">
        <v>24</v>
      </c>
    </row>
    <row r="1907" spans="1:5" x14ac:dyDescent="0.3">
      <c r="A1907" t="s">
        <v>4</v>
      </c>
      <c r="B1907" s="1" t="s">
        <v>13</v>
      </c>
      <c r="C1907" t="s">
        <v>12</v>
      </c>
      <c r="D1907" t="s">
        <v>5</v>
      </c>
      <c r="E1907" t="s">
        <v>24</v>
      </c>
    </row>
    <row r="1908" spans="1:5" x14ac:dyDescent="0.3">
      <c r="A1908" t="s">
        <v>4</v>
      </c>
      <c r="B1908" s="1" t="s">
        <v>13</v>
      </c>
      <c r="C1908" t="s">
        <v>12</v>
      </c>
      <c r="D1908" t="s">
        <v>6</v>
      </c>
      <c r="E1908" t="s">
        <v>24</v>
      </c>
    </row>
    <row r="1909" spans="1:5" x14ac:dyDescent="0.3">
      <c r="A1909" t="s">
        <v>4</v>
      </c>
      <c r="B1909" s="1" t="s">
        <v>13</v>
      </c>
      <c r="C1909" t="s">
        <v>11</v>
      </c>
      <c r="D1909" t="s">
        <v>7</v>
      </c>
      <c r="E1909" t="s">
        <v>24</v>
      </c>
    </row>
    <row r="1910" spans="1:5" x14ac:dyDescent="0.3">
      <c r="A1910" t="s">
        <v>4</v>
      </c>
      <c r="B1910" s="1" t="s">
        <v>13</v>
      </c>
      <c r="C1910" t="s">
        <v>10</v>
      </c>
      <c r="D1910" t="s">
        <v>8</v>
      </c>
      <c r="E1910" t="s">
        <v>24</v>
      </c>
    </row>
    <row r="1911" spans="1:5" x14ac:dyDescent="0.3">
      <c r="A1911" t="s">
        <v>4</v>
      </c>
      <c r="B1911" s="1" t="s">
        <v>13</v>
      </c>
      <c r="C1911" t="s">
        <v>11</v>
      </c>
      <c r="D1911" t="s">
        <v>9</v>
      </c>
      <c r="E1911" t="s">
        <v>24</v>
      </c>
    </row>
    <row r="1912" spans="1:5" x14ac:dyDescent="0.3">
      <c r="A1912" t="s">
        <v>4</v>
      </c>
      <c r="B1912" s="1" t="s">
        <v>13</v>
      </c>
      <c r="C1912" t="s">
        <v>12</v>
      </c>
      <c r="D1912" t="s">
        <v>5</v>
      </c>
      <c r="E1912" t="s">
        <v>24</v>
      </c>
    </row>
    <row r="1913" spans="1:5" x14ac:dyDescent="0.3">
      <c r="A1913" t="s">
        <v>4</v>
      </c>
      <c r="B1913" s="1" t="s">
        <v>13</v>
      </c>
      <c r="C1913" t="s">
        <v>12</v>
      </c>
      <c r="D1913" t="s">
        <v>6</v>
      </c>
      <c r="E1913" t="s">
        <v>24</v>
      </c>
    </row>
    <row r="1914" spans="1:5" x14ac:dyDescent="0.3">
      <c r="A1914" t="s">
        <v>4</v>
      </c>
      <c r="B1914" s="1" t="s">
        <v>13</v>
      </c>
      <c r="C1914" t="s">
        <v>12</v>
      </c>
      <c r="D1914" t="s">
        <v>7</v>
      </c>
      <c r="E1914" t="s">
        <v>24</v>
      </c>
    </row>
    <row r="1915" spans="1:5" x14ac:dyDescent="0.3">
      <c r="A1915" t="s">
        <v>4</v>
      </c>
      <c r="B1915" s="1" t="s">
        <v>13</v>
      </c>
      <c r="C1915" t="s">
        <v>10</v>
      </c>
      <c r="D1915" t="s">
        <v>8</v>
      </c>
      <c r="E1915" t="s">
        <v>24</v>
      </c>
    </row>
    <row r="1916" spans="1:5" x14ac:dyDescent="0.3">
      <c r="A1916" t="s">
        <v>4</v>
      </c>
      <c r="B1916" s="1" t="s">
        <v>13</v>
      </c>
      <c r="C1916" t="s">
        <v>11</v>
      </c>
      <c r="D1916" t="s">
        <v>9</v>
      </c>
      <c r="E1916" t="s">
        <v>24</v>
      </c>
    </row>
    <row r="1917" spans="1:5" x14ac:dyDescent="0.3">
      <c r="A1917" t="s">
        <v>4</v>
      </c>
      <c r="B1917" s="1" t="s">
        <v>13</v>
      </c>
      <c r="C1917" t="s">
        <v>12</v>
      </c>
      <c r="D1917" t="s">
        <v>5</v>
      </c>
      <c r="E1917" t="s">
        <v>24</v>
      </c>
    </row>
    <row r="1918" spans="1:5" x14ac:dyDescent="0.3">
      <c r="A1918" t="s">
        <v>4</v>
      </c>
      <c r="B1918" s="1" t="s">
        <v>13</v>
      </c>
      <c r="C1918" t="s">
        <v>12</v>
      </c>
      <c r="D1918" t="s">
        <v>6</v>
      </c>
      <c r="E1918" t="s">
        <v>24</v>
      </c>
    </row>
    <row r="1919" spans="1:5" x14ac:dyDescent="0.3">
      <c r="A1919" t="s">
        <v>4</v>
      </c>
      <c r="B1919" s="1" t="s">
        <v>13</v>
      </c>
      <c r="C1919" t="s">
        <v>11</v>
      </c>
      <c r="D1919" t="s">
        <v>7</v>
      </c>
      <c r="E1919" t="s">
        <v>24</v>
      </c>
    </row>
    <row r="1920" spans="1:5" x14ac:dyDescent="0.3">
      <c r="A1920" t="s">
        <v>4</v>
      </c>
      <c r="B1920" s="1" t="s">
        <v>13</v>
      </c>
      <c r="C1920" t="s">
        <v>10</v>
      </c>
      <c r="D1920" t="s">
        <v>8</v>
      </c>
      <c r="E1920" t="s">
        <v>24</v>
      </c>
    </row>
    <row r="1921" spans="1:5" x14ac:dyDescent="0.3">
      <c r="A1921" t="s">
        <v>4</v>
      </c>
      <c r="B1921" s="1" t="s">
        <v>13</v>
      </c>
      <c r="C1921" t="s">
        <v>10</v>
      </c>
      <c r="D1921" t="s">
        <v>9</v>
      </c>
      <c r="E1921" t="s">
        <v>24</v>
      </c>
    </row>
    <row r="1922" spans="1:5" x14ac:dyDescent="0.3">
      <c r="A1922" t="s">
        <v>4</v>
      </c>
      <c r="B1922" s="1" t="s">
        <v>13</v>
      </c>
      <c r="C1922" t="s">
        <v>12</v>
      </c>
      <c r="D1922" t="s">
        <v>5</v>
      </c>
      <c r="E1922" t="s">
        <v>24</v>
      </c>
    </row>
    <row r="1923" spans="1:5" x14ac:dyDescent="0.3">
      <c r="A1923" t="s">
        <v>4</v>
      </c>
      <c r="B1923" s="1" t="s">
        <v>13</v>
      </c>
      <c r="C1923" t="s">
        <v>12</v>
      </c>
      <c r="D1923" t="s">
        <v>6</v>
      </c>
      <c r="E1923" t="s">
        <v>24</v>
      </c>
    </row>
    <row r="1924" spans="1:5" x14ac:dyDescent="0.3">
      <c r="A1924" t="s">
        <v>4</v>
      </c>
      <c r="B1924" s="1" t="s">
        <v>13</v>
      </c>
      <c r="C1924" t="s">
        <v>11</v>
      </c>
      <c r="D1924" t="s">
        <v>7</v>
      </c>
      <c r="E1924" t="s">
        <v>24</v>
      </c>
    </row>
    <row r="1925" spans="1:5" x14ac:dyDescent="0.3">
      <c r="A1925" t="s">
        <v>4</v>
      </c>
      <c r="B1925" s="1" t="s">
        <v>13</v>
      </c>
      <c r="C1925" t="s">
        <v>10</v>
      </c>
      <c r="D1925" t="s">
        <v>8</v>
      </c>
      <c r="E1925" t="s">
        <v>24</v>
      </c>
    </row>
    <row r="1926" spans="1:5" x14ac:dyDescent="0.3">
      <c r="A1926" t="s">
        <v>4</v>
      </c>
      <c r="B1926" s="1" t="s">
        <v>13</v>
      </c>
      <c r="C1926" t="s">
        <v>11</v>
      </c>
      <c r="D1926" t="s">
        <v>9</v>
      </c>
      <c r="E1926" t="s">
        <v>24</v>
      </c>
    </row>
    <row r="1927" spans="1:5" x14ac:dyDescent="0.3">
      <c r="A1927" t="s">
        <v>4</v>
      </c>
      <c r="B1927" s="1" t="s">
        <v>13</v>
      </c>
      <c r="C1927" t="s">
        <v>12</v>
      </c>
      <c r="D1927" t="s">
        <v>5</v>
      </c>
      <c r="E1927" t="s">
        <v>24</v>
      </c>
    </row>
    <row r="1928" spans="1:5" x14ac:dyDescent="0.3">
      <c r="A1928" t="s">
        <v>4</v>
      </c>
      <c r="B1928" s="1" t="s">
        <v>13</v>
      </c>
      <c r="C1928" t="s">
        <v>12</v>
      </c>
      <c r="D1928" t="s">
        <v>6</v>
      </c>
      <c r="E1928" t="s">
        <v>24</v>
      </c>
    </row>
    <row r="1929" spans="1:5" x14ac:dyDescent="0.3">
      <c r="A1929" t="s">
        <v>4</v>
      </c>
      <c r="B1929" s="1" t="s">
        <v>13</v>
      </c>
      <c r="C1929" t="s">
        <v>11</v>
      </c>
      <c r="D1929" t="s">
        <v>7</v>
      </c>
      <c r="E1929" t="s">
        <v>24</v>
      </c>
    </row>
    <row r="1930" spans="1:5" x14ac:dyDescent="0.3">
      <c r="A1930" t="s">
        <v>4</v>
      </c>
      <c r="B1930" s="1" t="s">
        <v>13</v>
      </c>
      <c r="C1930" t="s">
        <v>10</v>
      </c>
      <c r="D1930" t="s">
        <v>8</v>
      </c>
      <c r="E1930" t="s">
        <v>24</v>
      </c>
    </row>
    <row r="1931" spans="1:5" x14ac:dyDescent="0.3">
      <c r="A1931" t="s">
        <v>4</v>
      </c>
      <c r="B1931" s="1" t="s">
        <v>13</v>
      </c>
      <c r="C1931" t="s">
        <v>11</v>
      </c>
      <c r="D1931" t="s">
        <v>9</v>
      </c>
      <c r="E1931" t="s">
        <v>24</v>
      </c>
    </row>
    <row r="1932" spans="1:5" x14ac:dyDescent="0.3">
      <c r="A1932" t="s">
        <v>4</v>
      </c>
      <c r="B1932" s="1" t="s">
        <v>13</v>
      </c>
      <c r="C1932" t="s">
        <v>12</v>
      </c>
      <c r="D1932" t="s">
        <v>5</v>
      </c>
      <c r="E1932" t="s">
        <v>24</v>
      </c>
    </row>
    <row r="1933" spans="1:5" x14ac:dyDescent="0.3">
      <c r="A1933" t="s">
        <v>4</v>
      </c>
      <c r="B1933" s="1" t="s">
        <v>13</v>
      </c>
      <c r="C1933" t="s">
        <v>12</v>
      </c>
      <c r="D1933" t="s">
        <v>6</v>
      </c>
      <c r="E1933" t="s">
        <v>24</v>
      </c>
    </row>
    <row r="1934" spans="1:5" x14ac:dyDescent="0.3">
      <c r="A1934" t="s">
        <v>4</v>
      </c>
      <c r="B1934" s="1" t="s">
        <v>13</v>
      </c>
      <c r="C1934" t="s">
        <v>11</v>
      </c>
      <c r="D1934" t="s">
        <v>7</v>
      </c>
      <c r="E1934" t="s">
        <v>24</v>
      </c>
    </row>
    <row r="1935" spans="1:5" x14ac:dyDescent="0.3">
      <c r="A1935" t="s">
        <v>4</v>
      </c>
      <c r="B1935" s="1" t="s">
        <v>13</v>
      </c>
      <c r="C1935" t="s">
        <v>10</v>
      </c>
      <c r="D1935" t="s">
        <v>8</v>
      </c>
      <c r="E1935" t="s">
        <v>24</v>
      </c>
    </row>
    <row r="1936" spans="1:5" x14ac:dyDescent="0.3">
      <c r="A1936" t="s">
        <v>4</v>
      </c>
      <c r="B1936" s="1" t="s">
        <v>13</v>
      </c>
      <c r="C1936" t="s">
        <v>11</v>
      </c>
      <c r="D1936" t="s">
        <v>9</v>
      </c>
      <c r="E1936" t="s">
        <v>24</v>
      </c>
    </row>
    <row r="1937" spans="1:5" x14ac:dyDescent="0.3">
      <c r="A1937" t="s">
        <v>4</v>
      </c>
      <c r="B1937" s="1" t="s">
        <v>13</v>
      </c>
      <c r="C1937" t="s">
        <v>12</v>
      </c>
      <c r="D1937" t="s">
        <v>5</v>
      </c>
      <c r="E1937" t="s">
        <v>24</v>
      </c>
    </row>
    <row r="1938" spans="1:5" x14ac:dyDescent="0.3">
      <c r="A1938" t="s">
        <v>4</v>
      </c>
      <c r="B1938" s="1" t="s">
        <v>13</v>
      </c>
      <c r="C1938" t="s">
        <v>12</v>
      </c>
      <c r="D1938" t="s">
        <v>6</v>
      </c>
      <c r="E1938" t="s">
        <v>24</v>
      </c>
    </row>
    <row r="1939" spans="1:5" x14ac:dyDescent="0.3">
      <c r="A1939" t="s">
        <v>4</v>
      </c>
      <c r="B1939" s="1" t="s">
        <v>13</v>
      </c>
      <c r="C1939" t="s">
        <v>12</v>
      </c>
      <c r="D1939" t="s">
        <v>7</v>
      </c>
      <c r="E1939" t="s">
        <v>24</v>
      </c>
    </row>
    <row r="1940" spans="1:5" x14ac:dyDescent="0.3">
      <c r="A1940" t="s">
        <v>4</v>
      </c>
      <c r="B1940" s="1" t="s">
        <v>13</v>
      </c>
      <c r="C1940" t="s">
        <v>10</v>
      </c>
      <c r="D1940" t="s">
        <v>8</v>
      </c>
      <c r="E1940" t="s">
        <v>24</v>
      </c>
    </row>
    <row r="1941" spans="1:5" x14ac:dyDescent="0.3">
      <c r="A1941" t="s">
        <v>4</v>
      </c>
      <c r="B1941" s="1" t="s">
        <v>13</v>
      </c>
      <c r="C1941" t="s">
        <v>12</v>
      </c>
      <c r="D1941" t="s">
        <v>9</v>
      </c>
      <c r="E1941" t="s">
        <v>24</v>
      </c>
    </row>
    <row r="1942" spans="1:5" x14ac:dyDescent="0.3">
      <c r="A1942" t="s">
        <v>4</v>
      </c>
      <c r="B1942" s="1" t="s">
        <v>13</v>
      </c>
      <c r="C1942" t="s">
        <v>12</v>
      </c>
      <c r="D1942" t="s">
        <v>5</v>
      </c>
      <c r="E1942" t="s">
        <v>24</v>
      </c>
    </row>
    <row r="1943" spans="1:5" x14ac:dyDescent="0.3">
      <c r="A1943" t="s">
        <v>4</v>
      </c>
      <c r="B1943" s="1" t="s">
        <v>13</v>
      </c>
      <c r="C1943" t="s">
        <v>12</v>
      </c>
      <c r="D1943" t="s">
        <v>6</v>
      </c>
      <c r="E1943" t="s">
        <v>24</v>
      </c>
    </row>
    <row r="1944" spans="1:5" x14ac:dyDescent="0.3">
      <c r="A1944" t="s">
        <v>4</v>
      </c>
      <c r="B1944" s="1" t="s">
        <v>13</v>
      </c>
      <c r="C1944" t="s">
        <v>12</v>
      </c>
      <c r="D1944" t="s">
        <v>7</v>
      </c>
      <c r="E1944" t="s">
        <v>24</v>
      </c>
    </row>
    <row r="1945" spans="1:5" x14ac:dyDescent="0.3">
      <c r="A1945" t="s">
        <v>4</v>
      </c>
      <c r="B1945" s="1" t="s">
        <v>13</v>
      </c>
      <c r="C1945" t="s">
        <v>10</v>
      </c>
      <c r="D1945" t="s">
        <v>8</v>
      </c>
      <c r="E1945" t="s">
        <v>24</v>
      </c>
    </row>
    <row r="1946" spans="1:5" x14ac:dyDescent="0.3">
      <c r="A1946" t="s">
        <v>4</v>
      </c>
      <c r="B1946" s="1" t="s">
        <v>13</v>
      </c>
      <c r="C1946" t="s">
        <v>11</v>
      </c>
      <c r="D1946" t="s">
        <v>9</v>
      </c>
      <c r="E1946" t="s">
        <v>24</v>
      </c>
    </row>
    <row r="1947" spans="1:5" x14ac:dyDescent="0.3">
      <c r="A1947" t="s">
        <v>4</v>
      </c>
      <c r="B1947" s="1" t="s">
        <v>13</v>
      </c>
      <c r="C1947" t="s">
        <v>12</v>
      </c>
      <c r="D1947" t="s">
        <v>5</v>
      </c>
      <c r="E1947" t="s">
        <v>24</v>
      </c>
    </row>
    <row r="1948" spans="1:5" x14ac:dyDescent="0.3">
      <c r="A1948" t="s">
        <v>4</v>
      </c>
      <c r="B1948" s="1" t="s">
        <v>13</v>
      </c>
      <c r="C1948" t="s">
        <v>12</v>
      </c>
      <c r="D1948" t="s">
        <v>6</v>
      </c>
      <c r="E1948" t="s">
        <v>24</v>
      </c>
    </row>
    <row r="1949" spans="1:5" x14ac:dyDescent="0.3">
      <c r="A1949" t="s">
        <v>4</v>
      </c>
      <c r="B1949" s="1" t="s">
        <v>13</v>
      </c>
      <c r="C1949" t="s">
        <v>12</v>
      </c>
      <c r="D1949" t="s">
        <v>7</v>
      </c>
      <c r="E1949" t="s">
        <v>24</v>
      </c>
    </row>
    <row r="1950" spans="1:5" x14ac:dyDescent="0.3">
      <c r="A1950" t="s">
        <v>4</v>
      </c>
      <c r="B1950" s="1" t="s">
        <v>13</v>
      </c>
      <c r="C1950" t="s">
        <v>10</v>
      </c>
      <c r="D1950" t="s">
        <v>8</v>
      </c>
      <c r="E1950" t="s">
        <v>24</v>
      </c>
    </row>
    <row r="1951" spans="1:5" x14ac:dyDescent="0.3">
      <c r="A1951" t="s">
        <v>4</v>
      </c>
      <c r="B1951" s="1" t="s">
        <v>13</v>
      </c>
      <c r="C1951" t="s">
        <v>11</v>
      </c>
      <c r="D1951" t="s">
        <v>9</v>
      </c>
      <c r="E1951" t="s">
        <v>24</v>
      </c>
    </row>
    <row r="1952" spans="1:5" x14ac:dyDescent="0.3">
      <c r="A1952" t="s">
        <v>4</v>
      </c>
      <c r="B1952" s="1" t="s">
        <v>13</v>
      </c>
      <c r="C1952" t="s">
        <v>12</v>
      </c>
      <c r="D1952" t="s">
        <v>5</v>
      </c>
      <c r="E1952" t="s">
        <v>24</v>
      </c>
    </row>
    <row r="1953" spans="1:5" x14ac:dyDescent="0.3">
      <c r="A1953" t="s">
        <v>4</v>
      </c>
      <c r="B1953" s="1" t="s">
        <v>13</v>
      </c>
      <c r="C1953" t="s">
        <v>11</v>
      </c>
      <c r="D1953" t="s">
        <v>6</v>
      </c>
      <c r="E1953" t="s">
        <v>24</v>
      </c>
    </row>
    <row r="1954" spans="1:5" x14ac:dyDescent="0.3">
      <c r="A1954" t="s">
        <v>4</v>
      </c>
      <c r="B1954" s="1" t="s">
        <v>13</v>
      </c>
      <c r="C1954" t="s">
        <v>11</v>
      </c>
      <c r="D1954" t="s">
        <v>7</v>
      </c>
      <c r="E1954" t="s">
        <v>24</v>
      </c>
    </row>
    <row r="1955" spans="1:5" x14ac:dyDescent="0.3">
      <c r="A1955" t="s">
        <v>4</v>
      </c>
      <c r="B1955" s="1" t="s">
        <v>13</v>
      </c>
      <c r="C1955" t="s">
        <v>10</v>
      </c>
      <c r="D1955" t="s">
        <v>8</v>
      </c>
      <c r="E1955" t="s">
        <v>24</v>
      </c>
    </row>
    <row r="1956" spans="1:5" x14ac:dyDescent="0.3">
      <c r="A1956" t="s">
        <v>4</v>
      </c>
      <c r="B1956" s="1" t="s">
        <v>13</v>
      </c>
      <c r="C1956" t="s">
        <v>11</v>
      </c>
      <c r="D1956" t="s">
        <v>9</v>
      </c>
      <c r="E1956" t="s">
        <v>24</v>
      </c>
    </row>
    <row r="1957" spans="1:5" x14ac:dyDescent="0.3">
      <c r="A1957" t="s">
        <v>4</v>
      </c>
      <c r="B1957" s="1" t="s">
        <v>13</v>
      </c>
      <c r="C1957" t="s">
        <v>12</v>
      </c>
      <c r="D1957" t="s">
        <v>5</v>
      </c>
      <c r="E1957" t="s">
        <v>24</v>
      </c>
    </row>
    <row r="1958" spans="1:5" x14ac:dyDescent="0.3">
      <c r="A1958" t="s">
        <v>4</v>
      </c>
      <c r="B1958" s="1" t="s">
        <v>13</v>
      </c>
      <c r="C1958" t="s">
        <v>12</v>
      </c>
      <c r="D1958" t="s">
        <v>6</v>
      </c>
      <c r="E1958" t="s">
        <v>24</v>
      </c>
    </row>
    <row r="1959" spans="1:5" x14ac:dyDescent="0.3">
      <c r="A1959" t="s">
        <v>4</v>
      </c>
      <c r="B1959" s="1" t="s">
        <v>13</v>
      </c>
      <c r="C1959" t="s">
        <v>11</v>
      </c>
      <c r="D1959" t="s">
        <v>7</v>
      </c>
      <c r="E1959" t="s">
        <v>24</v>
      </c>
    </row>
    <row r="1960" spans="1:5" x14ac:dyDescent="0.3">
      <c r="A1960" t="s">
        <v>4</v>
      </c>
      <c r="B1960" s="1" t="s">
        <v>13</v>
      </c>
      <c r="C1960" t="s">
        <v>10</v>
      </c>
      <c r="D1960" t="s">
        <v>8</v>
      </c>
      <c r="E1960" t="s">
        <v>24</v>
      </c>
    </row>
    <row r="1961" spans="1:5" x14ac:dyDescent="0.3">
      <c r="A1961" t="s">
        <v>4</v>
      </c>
      <c r="B1961" s="1" t="s">
        <v>13</v>
      </c>
      <c r="C1961" t="s">
        <v>11</v>
      </c>
      <c r="D1961" t="s">
        <v>9</v>
      </c>
      <c r="E1961" t="s">
        <v>24</v>
      </c>
    </row>
    <row r="1962" spans="1:5" x14ac:dyDescent="0.3">
      <c r="A1962" t="s">
        <v>4</v>
      </c>
      <c r="B1962" s="1" t="s">
        <v>13</v>
      </c>
      <c r="C1962" t="s">
        <v>12</v>
      </c>
      <c r="D1962" t="s">
        <v>5</v>
      </c>
      <c r="E1962" t="s">
        <v>24</v>
      </c>
    </row>
    <row r="1963" spans="1:5" x14ac:dyDescent="0.3">
      <c r="A1963" t="s">
        <v>4</v>
      </c>
      <c r="B1963" s="1" t="s">
        <v>13</v>
      </c>
      <c r="C1963" t="s">
        <v>12</v>
      </c>
      <c r="D1963" t="s">
        <v>6</v>
      </c>
      <c r="E1963" t="s">
        <v>24</v>
      </c>
    </row>
    <row r="1964" spans="1:5" x14ac:dyDescent="0.3">
      <c r="A1964" t="s">
        <v>4</v>
      </c>
      <c r="B1964" s="1" t="s">
        <v>13</v>
      </c>
      <c r="C1964" t="s">
        <v>11</v>
      </c>
      <c r="D1964" t="s">
        <v>7</v>
      </c>
      <c r="E1964" t="s">
        <v>24</v>
      </c>
    </row>
    <row r="1965" spans="1:5" x14ac:dyDescent="0.3">
      <c r="A1965" t="s">
        <v>4</v>
      </c>
      <c r="B1965" s="1" t="s">
        <v>13</v>
      </c>
      <c r="C1965" t="s">
        <v>10</v>
      </c>
      <c r="D1965" t="s">
        <v>8</v>
      </c>
      <c r="E1965" t="s">
        <v>24</v>
      </c>
    </row>
    <row r="1966" spans="1:5" x14ac:dyDescent="0.3">
      <c r="A1966" t="s">
        <v>4</v>
      </c>
      <c r="B1966" s="1" t="s">
        <v>13</v>
      </c>
      <c r="C1966" t="s">
        <v>11</v>
      </c>
      <c r="D1966" t="s">
        <v>9</v>
      </c>
      <c r="E1966" t="s">
        <v>24</v>
      </c>
    </row>
    <row r="1967" spans="1:5" x14ac:dyDescent="0.3">
      <c r="A1967" t="s">
        <v>4</v>
      </c>
      <c r="B1967" s="1" t="s">
        <v>13</v>
      </c>
      <c r="C1967" t="s">
        <v>12</v>
      </c>
      <c r="D1967" t="s">
        <v>5</v>
      </c>
      <c r="E1967" t="s">
        <v>24</v>
      </c>
    </row>
    <row r="1968" spans="1:5" x14ac:dyDescent="0.3">
      <c r="A1968" t="s">
        <v>4</v>
      </c>
      <c r="B1968" s="1" t="s">
        <v>13</v>
      </c>
      <c r="C1968" t="s">
        <v>12</v>
      </c>
      <c r="D1968" t="s">
        <v>6</v>
      </c>
      <c r="E1968" t="s">
        <v>24</v>
      </c>
    </row>
    <row r="1969" spans="1:5" x14ac:dyDescent="0.3">
      <c r="A1969" t="s">
        <v>4</v>
      </c>
      <c r="B1969" s="1" t="s">
        <v>13</v>
      </c>
      <c r="C1969" t="s">
        <v>11</v>
      </c>
      <c r="D1969" t="s">
        <v>7</v>
      </c>
      <c r="E1969" t="s">
        <v>24</v>
      </c>
    </row>
    <row r="1970" spans="1:5" x14ac:dyDescent="0.3">
      <c r="A1970" t="s">
        <v>4</v>
      </c>
      <c r="B1970" s="1" t="s">
        <v>13</v>
      </c>
      <c r="C1970" t="s">
        <v>10</v>
      </c>
      <c r="D1970" t="s">
        <v>8</v>
      </c>
      <c r="E1970" t="s">
        <v>24</v>
      </c>
    </row>
    <row r="1971" spans="1:5" x14ac:dyDescent="0.3">
      <c r="A1971" t="s">
        <v>4</v>
      </c>
      <c r="B1971" s="1" t="s">
        <v>13</v>
      </c>
      <c r="C1971" t="s">
        <v>11</v>
      </c>
      <c r="D1971" t="s">
        <v>9</v>
      </c>
      <c r="E1971" t="s">
        <v>24</v>
      </c>
    </row>
    <row r="1972" spans="1:5" x14ac:dyDescent="0.3">
      <c r="A1972" t="s">
        <v>4</v>
      </c>
      <c r="B1972" s="1" t="s">
        <v>13</v>
      </c>
      <c r="C1972" t="s">
        <v>12</v>
      </c>
      <c r="D1972" t="s">
        <v>5</v>
      </c>
      <c r="E1972" t="s">
        <v>24</v>
      </c>
    </row>
    <row r="1973" spans="1:5" x14ac:dyDescent="0.3">
      <c r="A1973" t="s">
        <v>4</v>
      </c>
      <c r="B1973" s="1" t="s">
        <v>13</v>
      </c>
      <c r="C1973" t="s">
        <v>12</v>
      </c>
      <c r="D1973" t="s">
        <v>6</v>
      </c>
      <c r="E1973" t="s">
        <v>24</v>
      </c>
    </row>
    <row r="1974" spans="1:5" x14ac:dyDescent="0.3">
      <c r="A1974" t="s">
        <v>4</v>
      </c>
      <c r="B1974" s="1" t="s">
        <v>13</v>
      </c>
      <c r="C1974" t="s">
        <v>11</v>
      </c>
      <c r="D1974" t="s">
        <v>7</v>
      </c>
      <c r="E1974" t="s">
        <v>24</v>
      </c>
    </row>
    <row r="1975" spans="1:5" x14ac:dyDescent="0.3">
      <c r="A1975" t="s">
        <v>4</v>
      </c>
      <c r="B1975" s="1" t="s">
        <v>13</v>
      </c>
      <c r="C1975" t="s">
        <v>10</v>
      </c>
      <c r="D1975" t="s">
        <v>8</v>
      </c>
      <c r="E1975" t="s">
        <v>24</v>
      </c>
    </row>
    <row r="1976" spans="1:5" x14ac:dyDescent="0.3">
      <c r="A1976" t="s">
        <v>4</v>
      </c>
      <c r="B1976" s="1" t="s">
        <v>13</v>
      </c>
      <c r="C1976" t="s">
        <v>11</v>
      </c>
      <c r="D1976" t="s">
        <v>9</v>
      </c>
      <c r="E1976" t="s">
        <v>24</v>
      </c>
    </row>
    <row r="1977" spans="1:5" x14ac:dyDescent="0.3">
      <c r="A1977" t="s">
        <v>4</v>
      </c>
      <c r="B1977" s="1" t="s">
        <v>13</v>
      </c>
      <c r="C1977" t="s">
        <v>12</v>
      </c>
      <c r="D1977" t="s">
        <v>5</v>
      </c>
      <c r="E1977" t="s">
        <v>24</v>
      </c>
    </row>
    <row r="1978" spans="1:5" x14ac:dyDescent="0.3">
      <c r="A1978" t="s">
        <v>4</v>
      </c>
      <c r="B1978" s="1" t="s">
        <v>13</v>
      </c>
      <c r="C1978" t="s">
        <v>12</v>
      </c>
      <c r="D1978" t="s">
        <v>6</v>
      </c>
      <c r="E1978" t="s">
        <v>24</v>
      </c>
    </row>
    <row r="1979" spans="1:5" x14ac:dyDescent="0.3">
      <c r="A1979" t="s">
        <v>4</v>
      </c>
      <c r="B1979" s="1" t="s">
        <v>13</v>
      </c>
      <c r="C1979" t="s">
        <v>11</v>
      </c>
      <c r="D1979" t="s">
        <v>7</v>
      </c>
      <c r="E1979" t="s">
        <v>24</v>
      </c>
    </row>
    <row r="1980" spans="1:5" x14ac:dyDescent="0.3">
      <c r="A1980" t="s">
        <v>4</v>
      </c>
      <c r="B1980" s="1" t="s">
        <v>13</v>
      </c>
      <c r="C1980" t="s">
        <v>10</v>
      </c>
      <c r="D1980" t="s">
        <v>8</v>
      </c>
      <c r="E1980" t="s">
        <v>24</v>
      </c>
    </row>
    <row r="1981" spans="1:5" x14ac:dyDescent="0.3">
      <c r="A1981" t="s">
        <v>4</v>
      </c>
      <c r="B1981" s="1" t="s">
        <v>13</v>
      </c>
      <c r="C1981" t="s">
        <v>11</v>
      </c>
      <c r="D1981" t="s">
        <v>9</v>
      </c>
      <c r="E1981" t="s">
        <v>24</v>
      </c>
    </row>
    <row r="1982" spans="1:5" x14ac:dyDescent="0.3">
      <c r="A1982" t="s">
        <v>4</v>
      </c>
      <c r="B1982" s="1" t="s">
        <v>13</v>
      </c>
      <c r="C1982" t="s">
        <v>12</v>
      </c>
      <c r="D1982" t="s">
        <v>5</v>
      </c>
      <c r="E1982" t="s">
        <v>24</v>
      </c>
    </row>
    <row r="1983" spans="1:5" x14ac:dyDescent="0.3">
      <c r="A1983" t="s">
        <v>4</v>
      </c>
      <c r="B1983" s="1" t="s">
        <v>13</v>
      </c>
      <c r="C1983" t="s">
        <v>12</v>
      </c>
      <c r="D1983" t="s">
        <v>6</v>
      </c>
      <c r="E1983" t="s">
        <v>24</v>
      </c>
    </row>
    <row r="1984" spans="1:5" x14ac:dyDescent="0.3">
      <c r="A1984" t="s">
        <v>4</v>
      </c>
      <c r="B1984" s="1" t="s">
        <v>13</v>
      </c>
      <c r="C1984" t="s">
        <v>10</v>
      </c>
      <c r="D1984" t="s">
        <v>7</v>
      </c>
      <c r="E1984" t="s">
        <v>24</v>
      </c>
    </row>
    <row r="1985" spans="1:5" x14ac:dyDescent="0.3">
      <c r="A1985" t="s">
        <v>4</v>
      </c>
      <c r="B1985" s="1" t="s">
        <v>13</v>
      </c>
      <c r="C1985" t="s">
        <v>10</v>
      </c>
      <c r="D1985" t="s">
        <v>8</v>
      </c>
      <c r="E1985" t="s">
        <v>24</v>
      </c>
    </row>
    <row r="1986" spans="1:5" x14ac:dyDescent="0.3">
      <c r="A1986" t="s">
        <v>4</v>
      </c>
      <c r="B1986" s="1" t="s">
        <v>13</v>
      </c>
      <c r="C1986" t="s">
        <v>11</v>
      </c>
      <c r="D1986" t="s">
        <v>9</v>
      </c>
      <c r="E1986" t="s">
        <v>24</v>
      </c>
    </row>
    <row r="1987" spans="1:5" x14ac:dyDescent="0.3">
      <c r="A1987" t="s">
        <v>4</v>
      </c>
      <c r="B1987" s="1" t="s">
        <v>13</v>
      </c>
      <c r="C1987" t="s">
        <v>12</v>
      </c>
      <c r="D1987" t="s">
        <v>5</v>
      </c>
      <c r="E1987" t="s">
        <v>24</v>
      </c>
    </row>
    <row r="1988" spans="1:5" x14ac:dyDescent="0.3">
      <c r="A1988" t="s">
        <v>4</v>
      </c>
      <c r="B1988" s="1" t="s">
        <v>13</v>
      </c>
      <c r="C1988" t="s">
        <v>12</v>
      </c>
      <c r="D1988" t="s">
        <v>6</v>
      </c>
      <c r="E1988" t="s">
        <v>24</v>
      </c>
    </row>
    <row r="1989" spans="1:5" x14ac:dyDescent="0.3">
      <c r="A1989" t="s">
        <v>4</v>
      </c>
      <c r="B1989" s="1" t="s">
        <v>13</v>
      </c>
      <c r="C1989" t="s">
        <v>11</v>
      </c>
      <c r="D1989" t="s">
        <v>7</v>
      </c>
      <c r="E1989" t="s">
        <v>24</v>
      </c>
    </row>
    <row r="1990" spans="1:5" x14ac:dyDescent="0.3">
      <c r="A1990" t="s">
        <v>4</v>
      </c>
      <c r="B1990" s="1" t="s">
        <v>13</v>
      </c>
      <c r="C1990" t="s">
        <v>10</v>
      </c>
      <c r="D1990" t="s">
        <v>8</v>
      </c>
      <c r="E1990" t="s">
        <v>24</v>
      </c>
    </row>
    <row r="1991" spans="1:5" x14ac:dyDescent="0.3">
      <c r="A1991" t="s">
        <v>4</v>
      </c>
      <c r="B1991" s="1" t="s">
        <v>13</v>
      </c>
      <c r="C1991" t="s">
        <v>11</v>
      </c>
      <c r="D1991" t="s">
        <v>9</v>
      </c>
      <c r="E1991" t="s">
        <v>24</v>
      </c>
    </row>
    <row r="1992" spans="1:5" x14ac:dyDescent="0.3">
      <c r="A1992" t="s">
        <v>4</v>
      </c>
      <c r="B1992" s="1" t="s">
        <v>13</v>
      </c>
      <c r="C1992" t="s">
        <v>12</v>
      </c>
      <c r="D1992" t="s">
        <v>5</v>
      </c>
      <c r="E1992" t="s">
        <v>24</v>
      </c>
    </row>
    <row r="1993" spans="1:5" x14ac:dyDescent="0.3">
      <c r="A1993" t="s">
        <v>4</v>
      </c>
      <c r="B1993" s="1" t="s">
        <v>13</v>
      </c>
      <c r="C1993" t="s">
        <v>12</v>
      </c>
      <c r="D1993" t="s">
        <v>6</v>
      </c>
      <c r="E1993" t="s">
        <v>24</v>
      </c>
    </row>
    <row r="1994" spans="1:5" x14ac:dyDescent="0.3">
      <c r="A1994" t="s">
        <v>4</v>
      </c>
      <c r="B1994" s="1" t="s">
        <v>13</v>
      </c>
      <c r="C1994" t="s">
        <v>11</v>
      </c>
      <c r="D1994" t="s">
        <v>7</v>
      </c>
      <c r="E1994" t="s">
        <v>24</v>
      </c>
    </row>
    <row r="1995" spans="1:5" x14ac:dyDescent="0.3">
      <c r="A1995" t="s">
        <v>4</v>
      </c>
      <c r="B1995" s="1" t="s">
        <v>13</v>
      </c>
      <c r="C1995" t="s">
        <v>10</v>
      </c>
      <c r="D1995" t="s">
        <v>8</v>
      </c>
      <c r="E1995" t="s">
        <v>24</v>
      </c>
    </row>
    <row r="1996" spans="1:5" x14ac:dyDescent="0.3">
      <c r="A1996" t="s">
        <v>4</v>
      </c>
      <c r="B1996" s="1" t="s">
        <v>13</v>
      </c>
      <c r="C1996" t="s">
        <v>11</v>
      </c>
      <c r="D1996" t="s">
        <v>9</v>
      </c>
      <c r="E1996" t="s">
        <v>24</v>
      </c>
    </row>
    <row r="1997" spans="1:5" x14ac:dyDescent="0.3">
      <c r="A1997" t="s">
        <v>4</v>
      </c>
      <c r="B1997" s="1" t="s">
        <v>13</v>
      </c>
      <c r="C1997" t="s">
        <v>12</v>
      </c>
      <c r="D1997" t="s">
        <v>5</v>
      </c>
      <c r="E1997" t="s">
        <v>24</v>
      </c>
    </row>
    <row r="1998" spans="1:5" x14ac:dyDescent="0.3">
      <c r="A1998" t="s">
        <v>4</v>
      </c>
      <c r="B1998" s="1" t="s">
        <v>13</v>
      </c>
      <c r="C1998" t="s">
        <v>12</v>
      </c>
      <c r="D1998" t="s">
        <v>6</v>
      </c>
      <c r="E1998" t="s">
        <v>24</v>
      </c>
    </row>
    <row r="1999" spans="1:5" x14ac:dyDescent="0.3">
      <c r="A1999" t="s">
        <v>4</v>
      </c>
      <c r="B1999" s="1" t="s">
        <v>13</v>
      </c>
      <c r="C1999" t="s">
        <v>11</v>
      </c>
      <c r="D1999" t="s">
        <v>7</v>
      </c>
      <c r="E1999" t="s">
        <v>24</v>
      </c>
    </row>
    <row r="2000" spans="1:5" x14ac:dyDescent="0.3">
      <c r="A2000" t="s">
        <v>4</v>
      </c>
      <c r="B2000" s="1" t="s">
        <v>13</v>
      </c>
      <c r="C2000" t="s">
        <v>10</v>
      </c>
      <c r="D2000" t="s">
        <v>8</v>
      </c>
      <c r="E2000" t="s">
        <v>24</v>
      </c>
    </row>
    <row r="2001" spans="1:5" x14ac:dyDescent="0.3">
      <c r="A2001" t="s">
        <v>4</v>
      </c>
      <c r="B2001" s="1" t="s">
        <v>13</v>
      </c>
      <c r="C2001" t="s">
        <v>11</v>
      </c>
      <c r="D2001" t="s">
        <v>9</v>
      </c>
      <c r="E2001" t="s">
        <v>24</v>
      </c>
    </row>
    <row r="2002" spans="1:5" x14ac:dyDescent="0.3">
      <c r="A2002" t="s">
        <v>4</v>
      </c>
      <c r="B2002" s="1" t="s">
        <v>13</v>
      </c>
      <c r="C2002" t="s">
        <v>12</v>
      </c>
      <c r="D2002" t="s">
        <v>5</v>
      </c>
      <c r="E2002" t="s">
        <v>24</v>
      </c>
    </row>
    <row r="2003" spans="1:5" x14ac:dyDescent="0.3">
      <c r="A2003" t="s">
        <v>4</v>
      </c>
      <c r="B2003" s="1" t="s">
        <v>13</v>
      </c>
      <c r="C2003" t="s">
        <v>12</v>
      </c>
      <c r="D2003" t="s">
        <v>6</v>
      </c>
      <c r="E2003" t="s">
        <v>24</v>
      </c>
    </row>
    <row r="2004" spans="1:5" x14ac:dyDescent="0.3">
      <c r="A2004" t="s">
        <v>4</v>
      </c>
      <c r="B2004" s="1" t="s">
        <v>13</v>
      </c>
      <c r="C2004" t="s">
        <v>11</v>
      </c>
      <c r="D2004" t="s">
        <v>7</v>
      </c>
      <c r="E2004" t="s">
        <v>24</v>
      </c>
    </row>
    <row r="2005" spans="1:5" x14ac:dyDescent="0.3">
      <c r="A2005" t="s">
        <v>4</v>
      </c>
      <c r="B2005" s="1" t="s">
        <v>13</v>
      </c>
      <c r="C2005" t="s">
        <v>10</v>
      </c>
      <c r="D2005" t="s">
        <v>8</v>
      </c>
      <c r="E2005" t="s">
        <v>24</v>
      </c>
    </row>
    <row r="2006" spans="1:5" x14ac:dyDescent="0.3">
      <c r="A2006" t="s">
        <v>4</v>
      </c>
      <c r="B2006" s="1" t="s">
        <v>13</v>
      </c>
      <c r="C2006" t="s">
        <v>11</v>
      </c>
      <c r="D2006" t="s">
        <v>9</v>
      </c>
      <c r="E2006" t="s">
        <v>24</v>
      </c>
    </row>
    <row r="2007" spans="1:5" x14ac:dyDescent="0.3">
      <c r="A2007" t="s">
        <v>4</v>
      </c>
      <c r="B2007" s="1" t="s">
        <v>13</v>
      </c>
      <c r="C2007" t="s">
        <v>12</v>
      </c>
      <c r="D2007" t="s">
        <v>5</v>
      </c>
      <c r="E2007" t="s">
        <v>24</v>
      </c>
    </row>
    <row r="2008" spans="1:5" x14ac:dyDescent="0.3">
      <c r="A2008" t="s">
        <v>4</v>
      </c>
      <c r="B2008" s="1" t="s">
        <v>13</v>
      </c>
      <c r="C2008" t="s">
        <v>12</v>
      </c>
      <c r="D2008" t="s">
        <v>6</v>
      </c>
      <c r="E2008" t="s">
        <v>24</v>
      </c>
    </row>
    <row r="2009" spans="1:5" x14ac:dyDescent="0.3">
      <c r="A2009" t="s">
        <v>4</v>
      </c>
      <c r="B2009" s="1" t="s">
        <v>13</v>
      </c>
      <c r="C2009" t="s">
        <v>12</v>
      </c>
      <c r="D2009" t="s">
        <v>7</v>
      </c>
      <c r="E2009" t="s">
        <v>24</v>
      </c>
    </row>
    <row r="2010" spans="1:5" x14ac:dyDescent="0.3">
      <c r="A2010" t="s">
        <v>4</v>
      </c>
      <c r="B2010" s="1" t="s">
        <v>13</v>
      </c>
      <c r="C2010" t="s">
        <v>10</v>
      </c>
      <c r="D2010" t="s">
        <v>8</v>
      </c>
      <c r="E2010" t="s">
        <v>24</v>
      </c>
    </row>
    <row r="2011" spans="1:5" x14ac:dyDescent="0.3">
      <c r="A2011" t="s">
        <v>4</v>
      </c>
      <c r="B2011" s="1" t="s">
        <v>13</v>
      </c>
      <c r="C2011" t="s">
        <v>11</v>
      </c>
      <c r="D2011" t="s">
        <v>9</v>
      </c>
      <c r="E2011" t="s">
        <v>24</v>
      </c>
    </row>
    <row r="2012" spans="1:5" x14ac:dyDescent="0.3">
      <c r="A2012" t="s">
        <v>4</v>
      </c>
      <c r="B2012" s="1" t="s">
        <v>13</v>
      </c>
      <c r="C2012" t="s">
        <v>12</v>
      </c>
      <c r="D2012" t="s">
        <v>5</v>
      </c>
      <c r="E2012" t="s">
        <v>24</v>
      </c>
    </row>
    <row r="2013" spans="1:5" x14ac:dyDescent="0.3">
      <c r="A2013" t="s">
        <v>4</v>
      </c>
      <c r="B2013" s="1" t="s">
        <v>13</v>
      </c>
      <c r="C2013" t="s">
        <v>12</v>
      </c>
      <c r="D2013" t="s">
        <v>6</v>
      </c>
      <c r="E2013" t="s">
        <v>24</v>
      </c>
    </row>
    <row r="2014" spans="1:5" x14ac:dyDescent="0.3">
      <c r="A2014" t="s">
        <v>4</v>
      </c>
      <c r="B2014" s="1" t="s">
        <v>13</v>
      </c>
      <c r="C2014" t="s">
        <v>11</v>
      </c>
      <c r="D2014" t="s">
        <v>7</v>
      </c>
      <c r="E2014" t="s">
        <v>24</v>
      </c>
    </row>
    <row r="2015" spans="1:5" x14ac:dyDescent="0.3">
      <c r="A2015" t="s">
        <v>4</v>
      </c>
      <c r="B2015" s="1" t="s">
        <v>13</v>
      </c>
      <c r="C2015" t="s">
        <v>10</v>
      </c>
      <c r="D2015" t="s">
        <v>8</v>
      </c>
      <c r="E2015" t="s">
        <v>24</v>
      </c>
    </row>
    <row r="2016" spans="1:5" x14ac:dyDescent="0.3">
      <c r="A2016" t="s">
        <v>4</v>
      </c>
      <c r="B2016" s="1" t="s">
        <v>13</v>
      </c>
      <c r="C2016" t="s">
        <v>11</v>
      </c>
      <c r="D2016" t="s">
        <v>9</v>
      </c>
      <c r="E2016" t="s">
        <v>24</v>
      </c>
    </row>
    <row r="2017" spans="1:5" x14ac:dyDescent="0.3">
      <c r="A2017" t="s">
        <v>4</v>
      </c>
      <c r="B2017" s="1" t="s">
        <v>13</v>
      </c>
      <c r="C2017" t="s">
        <v>12</v>
      </c>
      <c r="D2017" t="s">
        <v>5</v>
      </c>
      <c r="E2017" t="s">
        <v>24</v>
      </c>
    </row>
    <row r="2018" spans="1:5" x14ac:dyDescent="0.3">
      <c r="A2018" t="s">
        <v>4</v>
      </c>
      <c r="B2018" s="1" t="s">
        <v>13</v>
      </c>
      <c r="C2018" t="s">
        <v>12</v>
      </c>
      <c r="D2018" t="s">
        <v>6</v>
      </c>
      <c r="E2018" t="s">
        <v>24</v>
      </c>
    </row>
    <row r="2019" spans="1:5" x14ac:dyDescent="0.3">
      <c r="A2019" t="s">
        <v>4</v>
      </c>
      <c r="B2019" s="1" t="s">
        <v>13</v>
      </c>
      <c r="C2019" t="s">
        <v>12</v>
      </c>
      <c r="D2019" t="s">
        <v>7</v>
      </c>
      <c r="E2019" t="s">
        <v>24</v>
      </c>
    </row>
    <row r="2020" spans="1:5" x14ac:dyDescent="0.3">
      <c r="A2020" t="s">
        <v>4</v>
      </c>
      <c r="B2020" s="1" t="s">
        <v>13</v>
      </c>
      <c r="C2020" t="s">
        <v>10</v>
      </c>
      <c r="D2020" t="s">
        <v>8</v>
      </c>
      <c r="E2020" t="s">
        <v>24</v>
      </c>
    </row>
    <row r="2021" spans="1:5" x14ac:dyDescent="0.3">
      <c r="A2021" t="s">
        <v>4</v>
      </c>
      <c r="B2021" s="1" t="s">
        <v>13</v>
      </c>
      <c r="C2021" t="s">
        <v>11</v>
      </c>
      <c r="D2021" t="s">
        <v>9</v>
      </c>
      <c r="E2021" t="s">
        <v>24</v>
      </c>
    </row>
    <row r="2022" spans="1:5" x14ac:dyDescent="0.3">
      <c r="A2022" t="s">
        <v>4</v>
      </c>
      <c r="B2022" s="1" t="s">
        <v>13</v>
      </c>
      <c r="C2022" t="s">
        <v>12</v>
      </c>
      <c r="D2022" t="s">
        <v>5</v>
      </c>
      <c r="E2022" t="s">
        <v>24</v>
      </c>
    </row>
    <row r="2023" spans="1:5" x14ac:dyDescent="0.3">
      <c r="A2023" t="s">
        <v>4</v>
      </c>
      <c r="B2023" s="1" t="s">
        <v>13</v>
      </c>
      <c r="C2023" t="s">
        <v>12</v>
      </c>
      <c r="D2023" t="s">
        <v>6</v>
      </c>
      <c r="E2023" t="s">
        <v>24</v>
      </c>
    </row>
    <row r="2024" spans="1:5" x14ac:dyDescent="0.3">
      <c r="A2024" t="s">
        <v>4</v>
      </c>
      <c r="B2024" s="1" t="s">
        <v>13</v>
      </c>
      <c r="C2024" t="s">
        <v>11</v>
      </c>
      <c r="D2024" t="s">
        <v>7</v>
      </c>
      <c r="E2024" t="s">
        <v>24</v>
      </c>
    </row>
    <row r="2025" spans="1:5" x14ac:dyDescent="0.3">
      <c r="A2025" t="s">
        <v>4</v>
      </c>
      <c r="B2025" s="1" t="s">
        <v>13</v>
      </c>
      <c r="C2025" t="s">
        <v>10</v>
      </c>
      <c r="D2025" t="s">
        <v>8</v>
      </c>
      <c r="E2025" t="s">
        <v>24</v>
      </c>
    </row>
    <row r="2026" spans="1:5" x14ac:dyDescent="0.3">
      <c r="A2026" t="s">
        <v>4</v>
      </c>
      <c r="B2026" s="1" t="s">
        <v>13</v>
      </c>
      <c r="C2026" t="s">
        <v>11</v>
      </c>
      <c r="D2026" t="s">
        <v>9</v>
      </c>
      <c r="E2026" t="s">
        <v>24</v>
      </c>
    </row>
    <row r="2027" spans="1:5" x14ac:dyDescent="0.3">
      <c r="A2027" t="s">
        <v>4</v>
      </c>
      <c r="B2027" s="1" t="s">
        <v>13</v>
      </c>
      <c r="C2027" t="s">
        <v>12</v>
      </c>
      <c r="D2027" t="s">
        <v>5</v>
      </c>
      <c r="E2027" t="s">
        <v>24</v>
      </c>
    </row>
    <row r="2028" spans="1:5" x14ac:dyDescent="0.3">
      <c r="A2028" t="s">
        <v>4</v>
      </c>
      <c r="B2028" s="1" t="s">
        <v>13</v>
      </c>
      <c r="C2028" t="s">
        <v>12</v>
      </c>
      <c r="D2028" t="s">
        <v>6</v>
      </c>
      <c r="E2028" t="s">
        <v>24</v>
      </c>
    </row>
    <row r="2029" spans="1:5" x14ac:dyDescent="0.3">
      <c r="A2029" t="s">
        <v>4</v>
      </c>
      <c r="B2029" s="1" t="s">
        <v>13</v>
      </c>
      <c r="C2029" t="s">
        <v>11</v>
      </c>
      <c r="D2029" t="s">
        <v>7</v>
      </c>
      <c r="E2029" t="s">
        <v>24</v>
      </c>
    </row>
    <row r="2030" spans="1:5" x14ac:dyDescent="0.3">
      <c r="A2030" t="s">
        <v>4</v>
      </c>
      <c r="B2030" s="1" t="s">
        <v>13</v>
      </c>
      <c r="C2030" t="s">
        <v>10</v>
      </c>
      <c r="D2030" t="s">
        <v>8</v>
      </c>
      <c r="E2030" t="s">
        <v>24</v>
      </c>
    </row>
    <row r="2031" spans="1:5" x14ac:dyDescent="0.3">
      <c r="A2031" t="s">
        <v>4</v>
      </c>
      <c r="B2031" s="1" t="s">
        <v>13</v>
      </c>
      <c r="C2031" t="s">
        <v>11</v>
      </c>
      <c r="D2031" t="s">
        <v>9</v>
      </c>
      <c r="E2031" t="s">
        <v>24</v>
      </c>
    </row>
    <row r="2032" spans="1:5" x14ac:dyDescent="0.3">
      <c r="A2032" t="s">
        <v>4</v>
      </c>
      <c r="B2032" s="1" t="s">
        <v>13</v>
      </c>
      <c r="C2032" t="s">
        <v>12</v>
      </c>
      <c r="D2032" t="s">
        <v>5</v>
      </c>
      <c r="E2032" t="s">
        <v>24</v>
      </c>
    </row>
    <row r="2033" spans="1:5" x14ac:dyDescent="0.3">
      <c r="A2033" t="s">
        <v>4</v>
      </c>
      <c r="B2033" s="1" t="s">
        <v>13</v>
      </c>
      <c r="C2033" t="s">
        <v>12</v>
      </c>
      <c r="D2033" t="s">
        <v>6</v>
      </c>
      <c r="E2033" t="s">
        <v>24</v>
      </c>
    </row>
    <row r="2034" spans="1:5" x14ac:dyDescent="0.3">
      <c r="A2034" t="s">
        <v>4</v>
      </c>
      <c r="B2034" s="1" t="s">
        <v>13</v>
      </c>
      <c r="C2034" t="s">
        <v>11</v>
      </c>
      <c r="D2034" t="s">
        <v>7</v>
      </c>
      <c r="E2034" t="s">
        <v>24</v>
      </c>
    </row>
    <row r="2035" spans="1:5" x14ac:dyDescent="0.3">
      <c r="A2035" t="s">
        <v>4</v>
      </c>
      <c r="B2035" s="1" t="s">
        <v>13</v>
      </c>
      <c r="C2035" t="s">
        <v>10</v>
      </c>
      <c r="D2035" t="s">
        <v>8</v>
      </c>
      <c r="E2035" t="s">
        <v>24</v>
      </c>
    </row>
    <row r="2036" spans="1:5" x14ac:dyDescent="0.3">
      <c r="A2036" t="s">
        <v>4</v>
      </c>
      <c r="B2036" s="1" t="s">
        <v>13</v>
      </c>
      <c r="C2036" t="s">
        <v>11</v>
      </c>
      <c r="D2036" t="s">
        <v>9</v>
      </c>
      <c r="E2036" t="s">
        <v>24</v>
      </c>
    </row>
    <row r="2037" spans="1:5" x14ac:dyDescent="0.3">
      <c r="A2037" t="s">
        <v>4</v>
      </c>
      <c r="B2037" s="1" t="s">
        <v>13</v>
      </c>
      <c r="C2037" t="s">
        <v>12</v>
      </c>
      <c r="D2037" t="s">
        <v>5</v>
      </c>
      <c r="E2037" t="s">
        <v>24</v>
      </c>
    </row>
    <row r="2038" spans="1:5" x14ac:dyDescent="0.3">
      <c r="A2038" t="s">
        <v>4</v>
      </c>
      <c r="B2038" s="1" t="s">
        <v>13</v>
      </c>
      <c r="C2038" t="s">
        <v>12</v>
      </c>
      <c r="D2038" t="s">
        <v>6</v>
      </c>
      <c r="E2038" t="s">
        <v>24</v>
      </c>
    </row>
    <row r="2039" spans="1:5" x14ac:dyDescent="0.3">
      <c r="A2039" t="s">
        <v>4</v>
      </c>
      <c r="B2039" s="1" t="s">
        <v>13</v>
      </c>
      <c r="C2039" t="s">
        <v>11</v>
      </c>
      <c r="D2039" t="s">
        <v>7</v>
      </c>
      <c r="E2039" t="s">
        <v>24</v>
      </c>
    </row>
    <row r="2040" spans="1:5" x14ac:dyDescent="0.3">
      <c r="A2040" t="s">
        <v>4</v>
      </c>
      <c r="B2040" s="1" t="s">
        <v>13</v>
      </c>
      <c r="C2040" t="s">
        <v>10</v>
      </c>
      <c r="D2040" t="s">
        <v>8</v>
      </c>
      <c r="E2040" t="s">
        <v>24</v>
      </c>
    </row>
    <row r="2041" spans="1:5" x14ac:dyDescent="0.3">
      <c r="A2041" t="s">
        <v>4</v>
      </c>
      <c r="B2041" s="1" t="s">
        <v>13</v>
      </c>
      <c r="C2041" t="s">
        <v>11</v>
      </c>
      <c r="D2041" t="s">
        <v>9</v>
      </c>
      <c r="E2041" t="s">
        <v>24</v>
      </c>
    </row>
    <row r="2042" spans="1:5" x14ac:dyDescent="0.3">
      <c r="A2042" t="s">
        <v>4</v>
      </c>
      <c r="B2042" s="1" t="s">
        <v>13</v>
      </c>
      <c r="C2042" t="s">
        <v>12</v>
      </c>
      <c r="D2042" t="s">
        <v>5</v>
      </c>
      <c r="E2042" t="s">
        <v>24</v>
      </c>
    </row>
    <row r="2043" spans="1:5" x14ac:dyDescent="0.3">
      <c r="A2043" t="s">
        <v>4</v>
      </c>
      <c r="B2043" s="1" t="s">
        <v>13</v>
      </c>
      <c r="C2043" t="s">
        <v>12</v>
      </c>
      <c r="D2043" t="s">
        <v>6</v>
      </c>
      <c r="E2043" t="s">
        <v>24</v>
      </c>
    </row>
    <row r="2044" spans="1:5" x14ac:dyDescent="0.3">
      <c r="A2044" t="s">
        <v>4</v>
      </c>
      <c r="B2044" s="1" t="s">
        <v>13</v>
      </c>
      <c r="C2044" t="s">
        <v>12</v>
      </c>
      <c r="D2044" t="s">
        <v>7</v>
      </c>
      <c r="E2044" t="s">
        <v>24</v>
      </c>
    </row>
    <row r="2045" spans="1:5" x14ac:dyDescent="0.3">
      <c r="A2045" t="s">
        <v>4</v>
      </c>
      <c r="B2045" s="1" t="s">
        <v>13</v>
      </c>
      <c r="C2045" t="s">
        <v>10</v>
      </c>
      <c r="D2045" t="s">
        <v>8</v>
      </c>
      <c r="E2045" t="s">
        <v>24</v>
      </c>
    </row>
    <row r="2046" spans="1:5" x14ac:dyDescent="0.3">
      <c r="A2046" t="s">
        <v>4</v>
      </c>
      <c r="B2046" s="1" t="s">
        <v>13</v>
      </c>
      <c r="C2046" t="s">
        <v>12</v>
      </c>
      <c r="D2046" t="s">
        <v>9</v>
      </c>
      <c r="E2046" t="s">
        <v>24</v>
      </c>
    </row>
    <row r="2047" spans="1:5" x14ac:dyDescent="0.3">
      <c r="A2047" t="s">
        <v>4</v>
      </c>
      <c r="B2047" s="1" t="s">
        <v>13</v>
      </c>
      <c r="C2047" t="s">
        <v>12</v>
      </c>
      <c r="D2047" t="s">
        <v>5</v>
      </c>
      <c r="E2047" t="s">
        <v>24</v>
      </c>
    </row>
    <row r="2048" spans="1:5" x14ac:dyDescent="0.3">
      <c r="A2048" t="s">
        <v>4</v>
      </c>
      <c r="B2048" s="1" t="s">
        <v>13</v>
      </c>
      <c r="C2048" t="s">
        <v>12</v>
      </c>
      <c r="D2048" t="s">
        <v>6</v>
      </c>
      <c r="E2048" t="s">
        <v>24</v>
      </c>
    </row>
    <row r="2049" spans="1:5" x14ac:dyDescent="0.3">
      <c r="A2049" t="s">
        <v>4</v>
      </c>
      <c r="B2049" s="1" t="s">
        <v>13</v>
      </c>
      <c r="C2049" t="s">
        <v>11</v>
      </c>
      <c r="D2049" t="s">
        <v>7</v>
      </c>
      <c r="E2049" t="s">
        <v>24</v>
      </c>
    </row>
    <row r="2050" spans="1:5" x14ac:dyDescent="0.3">
      <c r="A2050" t="s">
        <v>4</v>
      </c>
      <c r="B2050" s="1" t="s">
        <v>13</v>
      </c>
      <c r="C2050" t="s">
        <v>10</v>
      </c>
      <c r="D2050" t="s">
        <v>8</v>
      </c>
      <c r="E2050" t="s">
        <v>24</v>
      </c>
    </row>
    <row r="2051" spans="1:5" x14ac:dyDescent="0.3">
      <c r="A2051" t="s">
        <v>4</v>
      </c>
      <c r="B2051" s="1" t="s">
        <v>13</v>
      </c>
      <c r="C2051" t="s">
        <v>11</v>
      </c>
      <c r="D2051" t="s">
        <v>9</v>
      </c>
      <c r="E2051" t="s">
        <v>24</v>
      </c>
    </row>
    <row r="2052" spans="1:5" x14ac:dyDescent="0.3">
      <c r="A2052" t="s">
        <v>4</v>
      </c>
      <c r="B2052" s="1" t="s">
        <v>13</v>
      </c>
      <c r="C2052" t="s">
        <v>12</v>
      </c>
      <c r="D2052" t="s">
        <v>5</v>
      </c>
      <c r="E2052" t="s">
        <v>24</v>
      </c>
    </row>
    <row r="2053" spans="1:5" x14ac:dyDescent="0.3">
      <c r="A2053" t="s">
        <v>4</v>
      </c>
      <c r="B2053" s="1" t="s">
        <v>13</v>
      </c>
      <c r="C2053" t="s">
        <v>12</v>
      </c>
      <c r="D2053" t="s">
        <v>6</v>
      </c>
      <c r="E2053" t="s">
        <v>24</v>
      </c>
    </row>
    <row r="2054" spans="1:5" x14ac:dyDescent="0.3">
      <c r="A2054" t="s">
        <v>4</v>
      </c>
      <c r="B2054" s="1" t="s">
        <v>13</v>
      </c>
      <c r="C2054" t="s">
        <v>11</v>
      </c>
      <c r="D2054" t="s">
        <v>7</v>
      </c>
      <c r="E2054" t="s">
        <v>24</v>
      </c>
    </row>
    <row r="2055" spans="1:5" x14ac:dyDescent="0.3">
      <c r="A2055" t="s">
        <v>4</v>
      </c>
      <c r="B2055" s="1" t="s">
        <v>13</v>
      </c>
      <c r="C2055" t="s">
        <v>10</v>
      </c>
      <c r="D2055" t="s">
        <v>8</v>
      </c>
      <c r="E2055" t="s">
        <v>24</v>
      </c>
    </row>
    <row r="2056" spans="1:5" x14ac:dyDescent="0.3">
      <c r="A2056" t="s">
        <v>4</v>
      </c>
      <c r="B2056" s="1" t="s">
        <v>13</v>
      </c>
      <c r="C2056" t="s">
        <v>11</v>
      </c>
      <c r="D2056" t="s">
        <v>9</v>
      </c>
      <c r="E2056" t="s">
        <v>24</v>
      </c>
    </row>
    <row r="2057" spans="1:5" x14ac:dyDescent="0.3">
      <c r="A2057" t="s">
        <v>4</v>
      </c>
      <c r="B2057" s="1" t="s">
        <v>13</v>
      </c>
      <c r="C2057" t="s">
        <v>12</v>
      </c>
      <c r="D2057" t="s">
        <v>5</v>
      </c>
      <c r="E2057" t="s">
        <v>24</v>
      </c>
    </row>
    <row r="2058" spans="1:5" x14ac:dyDescent="0.3">
      <c r="A2058" t="s">
        <v>4</v>
      </c>
      <c r="B2058" s="1" t="s">
        <v>13</v>
      </c>
      <c r="C2058" t="s">
        <v>12</v>
      </c>
      <c r="D2058" t="s">
        <v>6</v>
      </c>
      <c r="E2058" t="s">
        <v>24</v>
      </c>
    </row>
    <row r="2059" spans="1:5" x14ac:dyDescent="0.3">
      <c r="A2059" t="s">
        <v>4</v>
      </c>
      <c r="B2059" s="1" t="s">
        <v>13</v>
      </c>
      <c r="C2059" t="s">
        <v>11</v>
      </c>
      <c r="D2059" t="s">
        <v>7</v>
      </c>
      <c r="E2059" t="s">
        <v>24</v>
      </c>
    </row>
    <row r="2060" spans="1:5" x14ac:dyDescent="0.3">
      <c r="A2060" t="s">
        <v>4</v>
      </c>
      <c r="B2060" s="1" t="s">
        <v>13</v>
      </c>
      <c r="C2060" t="s">
        <v>10</v>
      </c>
      <c r="D2060" t="s">
        <v>8</v>
      </c>
      <c r="E2060" t="s">
        <v>24</v>
      </c>
    </row>
    <row r="2061" spans="1:5" x14ac:dyDescent="0.3">
      <c r="A2061" t="s">
        <v>4</v>
      </c>
      <c r="B2061" s="1" t="s">
        <v>13</v>
      </c>
      <c r="C2061" t="s">
        <v>11</v>
      </c>
      <c r="D2061" t="s">
        <v>9</v>
      </c>
      <c r="E2061" t="s">
        <v>24</v>
      </c>
    </row>
    <row r="2062" spans="1:5" x14ac:dyDescent="0.3">
      <c r="A2062" t="s">
        <v>4</v>
      </c>
      <c r="B2062" s="1" t="s">
        <v>13</v>
      </c>
      <c r="C2062" t="s">
        <v>12</v>
      </c>
      <c r="D2062" t="s">
        <v>5</v>
      </c>
      <c r="E2062" t="s">
        <v>24</v>
      </c>
    </row>
    <row r="2063" spans="1:5" x14ac:dyDescent="0.3">
      <c r="A2063" t="s">
        <v>4</v>
      </c>
      <c r="B2063" s="1" t="s">
        <v>13</v>
      </c>
      <c r="C2063" t="s">
        <v>12</v>
      </c>
      <c r="D2063" t="s">
        <v>6</v>
      </c>
      <c r="E2063" t="s">
        <v>24</v>
      </c>
    </row>
    <row r="2064" spans="1:5" x14ac:dyDescent="0.3">
      <c r="A2064" t="s">
        <v>4</v>
      </c>
      <c r="B2064" s="1" t="s">
        <v>13</v>
      </c>
      <c r="C2064" t="s">
        <v>11</v>
      </c>
      <c r="D2064" t="s">
        <v>7</v>
      </c>
      <c r="E2064" t="s">
        <v>24</v>
      </c>
    </row>
    <row r="2065" spans="1:5" x14ac:dyDescent="0.3">
      <c r="A2065" t="s">
        <v>4</v>
      </c>
      <c r="B2065" s="1" t="s">
        <v>13</v>
      </c>
      <c r="C2065" t="s">
        <v>10</v>
      </c>
      <c r="D2065" t="s">
        <v>8</v>
      </c>
      <c r="E2065" t="s">
        <v>24</v>
      </c>
    </row>
    <row r="2066" spans="1:5" x14ac:dyDescent="0.3">
      <c r="A2066" t="s">
        <v>4</v>
      </c>
      <c r="B2066" s="1" t="s">
        <v>13</v>
      </c>
      <c r="C2066" t="s">
        <v>11</v>
      </c>
      <c r="D2066" t="s">
        <v>9</v>
      </c>
      <c r="E2066" t="s">
        <v>24</v>
      </c>
    </row>
    <row r="2067" spans="1:5" x14ac:dyDescent="0.3">
      <c r="A2067" t="s">
        <v>4</v>
      </c>
      <c r="B2067" s="1" t="s">
        <v>13</v>
      </c>
      <c r="C2067" t="s">
        <v>12</v>
      </c>
      <c r="D2067" t="s">
        <v>5</v>
      </c>
      <c r="E2067" t="s">
        <v>24</v>
      </c>
    </row>
    <row r="2068" spans="1:5" x14ac:dyDescent="0.3">
      <c r="A2068" t="s">
        <v>4</v>
      </c>
      <c r="B2068" s="1" t="s">
        <v>13</v>
      </c>
      <c r="C2068" t="s">
        <v>12</v>
      </c>
      <c r="D2068" t="s">
        <v>6</v>
      </c>
      <c r="E2068" t="s">
        <v>24</v>
      </c>
    </row>
    <row r="2069" spans="1:5" x14ac:dyDescent="0.3">
      <c r="A2069" t="s">
        <v>4</v>
      </c>
      <c r="B2069" s="1" t="s">
        <v>13</v>
      </c>
      <c r="C2069" t="s">
        <v>11</v>
      </c>
      <c r="D2069" t="s">
        <v>7</v>
      </c>
      <c r="E2069" t="s">
        <v>24</v>
      </c>
    </row>
    <row r="2070" spans="1:5" x14ac:dyDescent="0.3">
      <c r="A2070" t="s">
        <v>4</v>
      </c>
      <c r="B2070" s="1" t="s">
        <v>13</v>
      </c>
      <c r="C2070" t="s">
        <v>10</v>
      </c>
      <c r="D2070" t="s">
        <v>8</v>
      </c>
      <c r="E2070" t="s">
        <v>24</v>
      </c>
    </row>
    <row r="2071" spans="1:5" x14ac:dyDescent="0.3">
      <c r="A2071" t="s">
        <v>4</v>
      </c>
      <c r="B2071" s="1" t="s">
        <v>13</v>
      </c>
      <c r="C2071" t="s">
        <v>11</v>
      </c>
      <c r="D2071" t="s">
        <v>9</v>
      </c>
      <c r="E2071" t="s">
        <v>24</v>
      </c>
    </row>
    <row r="2072" spans="1:5" x14ac:dyDescent="0.3">
      <c r="A2072" t="s">
        <v>4</v>
      </c>
      <c r="B2072" s="1" t="s">
        <v>13</v>
      </c>
      <c r="C2072" t="s">
        <v>12</v>
      </c>
      <c r="D2072" t="s">
        <v>5</v>
      </c>
      <c r="E2072" t="s">
        <v>24</v>
      </c>
    </row>
    <row r="2073" spans="1:5" x14ac:dyDescent="0.3">
      <c r="A2073" t="s">
        <v>4</v>
      </c>
      <c r="B2073" s="1" t="s">
        <v>13</v>
      </c>
      <c r="C2073" t="s">
        <v>12</v>
      </c>
      <c r="D2073" t="s">
        <v>6</v>
      </c>
      <c r="E2073" t="s">
        <v>24</v>
      </c>
    </row>
    <row r="2074" spans="1:5" x14ac:dyDescent="0.3">
      <c r="A2074" t="s">
        <v>4</v>
      </c>
      <c r="B2074" s="1" t="s">
        <v>13</v>
      </c>
      <c r="C2074" t="s">
        <v>11</v>
      </c>
      <c r="D2074" t="s">
        <v>7</v>
      </c>
      <c r="E2074" t="s">
        <v>24</v>
      </c>
    </row>
    <row r="2075" spans="1:5" x14ac:dyDescent="0.3">
      <c r="A2075" t="s">
        <v>4</v>
      </c>
      <c r="B2075" s="1" t="s">
        <v>13</v>
      </c>
      <c r="C2075" t="s">
        <v>10</v>
      </c>
      <c r="D2075" t="s">
        <v>8</v>
      </c>
      <c r="E2075" t="s">
        <v>24</v>
      </c>
    </row>
    <row r="2076" spans="1:5" x14ac:dyDescent="0.3">
      <c r="A2076" t="s">
        <v>4</v>
      </c>
      <c r="B2076" s="1" t="s">
        <v>13</v>
      </c>
      <c r="C2076" t="s">
        <v>11</v>
      </c>
      <c r="D2076" t="s">
        <v>9</v>
      </c>
      <c r="E2076" t="s">
        <v>24</v>
      </c>
    </row>
    <row r="2077" spans="1:5" x14ac:dyDescent="0.3">
      <c r="A2077" t="s">
        <v>4</v>
      </c>
      <c r="B2077" s="1" t="s">
        <v>13</v>
      </c>
      <c r="C2077" t="s">
        <v>12</v>
      </c>
      <c r="D2077" t="s">
        <v>5</v>
      </c>
      <c r="E2077" t="s">
        <v>24</v>
      </c>
    </row>
    <row r="2078" spans="1:5" x14ac:dyDescent="0.3">
      <c r="A2078" t="s">
        <v>4</v>
      </c>
      <c r="B2078" s="1" t="s">
        <v>13</v>
      </c>
      <c r="C2078" t="s">
        <v>12</v>
      </c>
      <c r="D2078" t="s">
        <v>6</v>
      </c>
      <c r="E2078" t="s">
        <v>24</v>
      </c>
    </row>
    <row r="2079" spans="1:5" x14ac:dyDescent="0.3">
      <c r="A2079" t="s">
        <v>4</v>
      </c>
      <c r="B2079" s="1" t="s">
        <v>13</v>
      </c>
      <c r="C2079" t="s">
        <v>11</v>
      </c>
      <c r="D2079" t="s">
        <v>7</v>
      </c>
      <c r="E2079" t="s">
        <v>24</v>
      </c>
    </row>
    <row r="2080" spans="1:5" x14ac:dyDescent="0.3">
      <c r="A2080" t="s">
        <v>4</v>
      </c>
      <c r="B2080" s="1" t="s">
        <v>13</v>
      </c>
      <c r="C2080" t="s">
        <v>10</v>
      </c>
      <c r="D2080" t="s">
        <v>8</v>
      </c>
      <c r="E2080" t="s">
        <v>24</v>
      </c>
    </row>
    <row r="2081" spans="1:5" x14ac:dyDescent="0.3">
      <c r="A2081" t="s">
        <v>4</v>
      </c>
      <c r="B2081" s="1" t="s">
        <v>13</v>
      </c>
      <c r="C2081" t="s">
        <v>11</v>
      </c>
      <c r="D2081" t="s">
        <v>9</v>
      </c>
      <c r="E2081" t="s">
        <v>24</v>
      </c>
    </row>
    <row r="2082" spans="1:5" x14ac:dyDescent="0.3">
      <c r="A2082" t="s">
        <v>4</v>
      </c>
      <c r="B2082" s="1" t="s">
        <v>13</v>
      </c>
      <c r="C2082" t="s">
        <v>12</v>
      </c>
      <c r="D2082" t="s">
        <v>5</v>
      </c>
      <c r="E2082" t="s">
        <v>24</v>
      </c>
    </row>
    <row r="2083" spans="1:5" x14ac:dyDescent="0.3">
      <c r="A2083" t="s">
        <v>4</v>
      </c>
      <c r="B2083" s="1" t="s">
        <v>13</v>
      </c>
      <c r="C2083" t="s">
        <v>12</v>
      </c>
      <c r="D2083" t="s">
        <v>6</v>
      </c>
      <c r="E2083" t="s">
        <v>24</v>
      </c>
    </row>
    <row r="2084" spans="1:5" x14ac:dyDescent="0.3">
      <c r="A2084" t="s">
        <v>4</v>
      </c>
      <c r="B2084" s="1" t="s">
        <v>13</v>
      </c>
      <c r="C2084" t="s">
        <v>11</v>
      </c>
      <c r="D2084" t="s">
        <v>7</v>
      </c>
      <c r="E2084" t="s">
        <v>24</v>
      </c>
    </row>
    <row r="2085" spans="1:5" x14ac:dyDescent="0.3">
      <c r="A2085" t="s">
        <v>4</v>
      </c>
      <c r="B2085" s="1" t="s">
        <v>13</v>
      </c>
      <c r="C2085" t="s">
        <v>10</v>
      </c>
      <c r="D2085" t="s">
        <v>8</v>
      </c>
      <c r="E2085" t="s">
        <v>24</v>
      </c>
    </row>
    <row r="2086" spans="1:5" x14ac:dyDescent="0.3">
      <c r="A2086" t="s">
        <v>4</v>
      </c>
      <c r="B2086" s="1" t="s">
        <v>13</v>
      </c>
      <c r="C2086" t="s">
        <v>11</v>
      </c>
      <c r="D2086" t="s">
        <v>9</v>
      </c>
      <c r="E2086" t="s">
        <v>24</v>
      </c>
    </row>
    <row r="2087" spans="1:5" x14ac:dyDescent="0.3">
      <c r="A2087" t="s">
        <v>4</v>
      </c>
      <c r="B2087" s="1" t="s">
        <v>13</v>
      </c>
      <c r="C2087" t="s">
        <v>12</v>
      </c>
      <c r="D2087" t="s">
        <v>5</v>
      </c>
      <c r="E2087" t="s">
        <v>24</v>
      </c>
    </row>
    <row r="2088" spans="1:5" x14ac:dyDescent="0.3">
      <c r="A2088" t="s">
        <v>4</v>
      </c>
      <c r="B2088" s="1" t="s">
        <v>13</v>
      </c>
      <c r="C2088" t="s">
        <v>12</v>
      </c>
      <c r="D2088" t="s">
        <v>6</v>
      </c>
      <c r="E2088" t="s">
        <v>24</v>
      </c>
    </row>
    <row r="2089" spans="1:5" x14ac:dyDescent="0.3">
      <c r="A2089" t="s">
        <v>4</v>
      </c>
      <c r="B2089" s="1" t="s">
        <v>13</v>
      </c>
      <c r="C2089" t="s">
        <v>11</v>
      </c>
      <c r="D2089" t="s">
        <v>7</v>
      </c>
      <c r="E2089" t="s">
        <v>24</v>
      </c>
    </row>
    <row r="2090" spans="1:5" x14ac:dyDescent="0.3">
      <c r="A2090" t="s">
        <v>4</v>
      </c>
      <c r="B2090" s="1" t="s">
        <v>13</v>
      </c>
      <c r="C2090" t="s">
        <v>10</v>
      </c>
      <c r="D2090" t="s">
        <v>8</v>
      </c>
      <c r="E2090" t="s">
        <v>24</v>
      </c>
    </row>
    <row r="2091" spans="1:5" x14ac:dyDescent="0.3">
      <c r="A2091" t="s">
        <v>4</v>
      </c>
      <c r="B2091" s="1" t="s">
        <v>13</v>
      </c>
      <c r="C2091" t="s">
        <v>11</v>
      </c>
      <c r="D2091" t="s">
        <v>9</v>
      </c>
      <c r="E2091" t="s">
        <v>24</v>
      </c>
    </row>
    <row r="2092" spans="1:5" x14ac:dyDescent="0.3">
      <c r="A2092" t="s">
        <v>4</v>
      </c>
      <c r="B2092" s="1" t="s">
        <v>13</v>
      </c>
      <c r="C2092" t="s">
        <v>12</v>
      </c>
      <c r="D2092" t="s">
        <v>5</v>
      </c>
      <c r="E2092" t="s">
        <v>24</v>
      </c>
    </row>
    <row r="2093" spans="1:5" x14ac:dyDescent="0.3">
      <c r="A2093" t="s">
        <v>4</v>
      </c>
      <c r="B2093" s="1" t="s">
        <v>13</v>
      </c>
      <c r="C2093" t="s">
        <v>12</v>
      </c>
      <c r="D2093" t="s">
        <v>6</v>
      </c>
      <c r="E2093" t="s">
        <v>24</v>
      </c>
    </row>
    <row r="2094" spans="1:5" x14ac:dyDescent="0.3">
      <c r="A2094" t="s">
        <v>4</v>
      </c>
      <c r="B2094" s="1" t="s">
        <v>13</v>
      </c>
      <c r="C2094" t="s">
        <v>11</v>
      </c>
      <c r="D2094" t="s">
        <v>7</v>
      </c>
      <c r="E2094" t="s">
        <v>24</v>
      </c>
    </row>
    <row r="2095" spans="1:5" x14ac:dyDescent="0.3">
      <c r="A2095" t="s">
        <v>4</v>
      </c>
      <c r="B2095" s="1" t="s">
        <v>13</v>
      </c>
      <c r="C2095" t="s">
        <v>10</v>
      </c>
      <c r="D2095" t="s">
        <v>8</v>
      </c>
      <c r="E2095" t="s">
        <v>24</v>
      </c>
    </row>
    <row r="2096" spans="1:5" x14ac:dyDescent="0.3">
      <c r="A2096" t="s">
        <v>4</v>
      </c>
      <c r="B2096" s="1" t="s">
        <v>13</v>
      </c>
      <c r="C2096" t="s">
        <v>11</v>
      </c>
      <c r="D2096" t="s">
        <v>9</v>
      </c>
      <c r="E2096" t="s">
        <v>24</v>
      </c>
    </row>
    <row r="2097" spans="1:5" x14ac:dyDescent="0.3">
      <c r="A2097" t="s">
        <v>4</v>
      </c>
      <c r="B2097" s="1" t="s">
        <v>13</v>
      </c>
      <c r="C2097" t="s">
        <v>12</v>
      </c>
      <c r="D2097" t="s">
        <v>5</v>
      </c>
      <c r="E2097" t="s">
        <v>24</v>
      </c>
    </row>
    <row r="2098" spans="1:5" x14ac:dyDescent="0.3">
      <c r="A2098" t="s">
        <v>4</v>
      </c>
      <c r="B2098" s="1" t="s">
        <v>13</v>
      </c>
      <c r="C2098" t="s">
        <v>12</v>
      </c>
      <c r="D2098" t="s">
        <v>6</v>
      </c>
      <c r="E2098" t="s">
        <v>24</v>
      </c>
    </row>
    <row r="2099" spans="1:5" x14ac:dyDescent="0.3">
      <c r="A2099" t="s">
        <v>4</v>
      </c>
      <c r="B2099" s="1" t="s">
        <v>13</v>
      </c>
      <c r="C2099" t="s">
        <v>12</v>
      </c>
      <c r="D2099" t="s">
        <v>7</v>
      </c>
      <c r="E2099" t="s">
        <v>24</v>
      </c>
    </row>
    <row r="2100" spans="1:5" x14ac:dyDescent="0.3">
      <c r="A2100" t="s">
        <v>4</v>
      </c>
      <c r="B2100" s="1" t="s">
        <v>13</v>
      </c>
      <c r="C2100" t="s">
        <v>10</v>
      </c>
      <c r="D2100" t="s">
        <v>8</v>
      </c>
      <c r="E2100" t="s">
        <v>24</v>
      </c>
    </row>
    <row r="2101" spans="1:5" x14ac:dyDescent="0.3">
      <c r="A2101" t="s">
        <v>4</v>
      </c>
      <c r="B2101" s="1" t="s">
        <v>13</v>
      </c>
      <c r="C2101" t="s">
        <v>12</v>
      </c>
      <c r="D2101" t="s">
        <v>9</v>
      </c>
      <c r="E2101" t="s">
        <v>24</v>
      </c>
    </row>
    <row r="2102" spans="1:5" x14ac:dyDescent="0.3">
      <c r="A2102" t="s">
        <v>4</v>
      </c>
      <c r="B2102" s="1" t="s">
        <v>13</v>
      </c>
      <c r="C2102" t="s">
        <v>12</v>
      </c>
      <c r="D2102" t="s">
        <v>5</v>
      </c>
      <c r="E2102" t="s">
        <v>23</v>
      </c>
    </row>
    <row r="2103" spans="1:5" x14ac:dyDescent="0.3">
      <c r="A2103" t="s">
        <v>4</v>
      </c>
      <c r="B2103" s="1" t="s">
        <v>13</v>
      </c>
      <c r="C2103" t="s">
        <v>12</v>
      </c>
      <c r="D2103" t="s">
        <v>6</v>
      </c>
      <c r="E2103" t="s">
        <v>23</v>
      </c>
    </row>
    <row r="2104" spans="1:5" x14ac:dyDescent="0.3">
      <c r="A2104" t="s">
        <v>4</v>
      </c>
      <c r="B2104" s="1" t="s">
        <v>13</v>
      </c>
      <c r="C2104" t="s">
        <v>12</v>
      </c>
      <c r="D2104" t="s">
        <v>7</v>
      </c>
      <c r="E2104" t="s">
        <v>23</v>
      </c>
    </row>
    <row r="2105" spans="1:5" x14ac:dyDescent="0.3">
      <c r="A2105" t="s">
        <v>4</v>
      </c>
      <c r="B2105" s="1" t="s">
        <v>13</v>
      </c>
      <c r="C2105" t="s">
        <v>10</v>
      </c>
      <c r="D2105" t="s">
        <v>8</v>
      </c>
      <c r="E2105" t="s">
        <v>23</v>
      </c>
    </row>
    <row r="2106" spans="1:5" x14ac:dyDescent="0.3">
      <c r="A2106" t="s">
        <v>4</v>
      </c>
      <c r="B2106" s="1" t="s">
        <v>13</v>
      </c>
      <c r="C2106" t="s">
        <v>12</v>
      </c>
      <c r="D2106" t="s">
        <v>5</v>
      </c>
      <c r="E2106" t="s">
        <v>23</v>
      </c>
    </row>
    <row r="2107" spans="1:5" x14ac:dyDescent="0.3">
      <c r="A2107" t="s">
        <v>4</v>
      </c>
      <c r="B2107" s="1" t="s">
        <v>13</v>
      </c>
      <c r="C2107" t="s">
        <v>12</v>
      </c>
      <c r="D2107" t="s">
        <v>6</v>
      </c>
      <c r="E2107" t="s">
        <v>23</v>
      </c>
    </row>
    <row r="2108" spans="1:5" x14ac:dyDescent="0.3">
      <c r="A2108" t="s">
        <v>4</v>
      </c>
      <c r="B2108" s="1" t="s">
        <v>13</v>
      </c>
      <c r="C2108" t="s">
        <v>11</v>
      </c>
      <c r="D2108" t="s">
        <v>7</v>
      </c>
      <c r="E2108" t="s">
        <v>23</v>
      </c>
    </row>
    <row r="2109" spans="1:5" x14ac:dyDescent="0.3">
      <c r="A2109" t="s">
        <v>4</v>
      </c>
      <c r="B2109" s="1" t="s">
        <v>13</v>
      </c>
      <c r="C2109" t="s">
        <v>10</v>
      </c>
      <c r="D2109" t="s">
        <v>8</v>
      </c>
      <c r="E2109" t="s">
        <v>23</v>
      </c>
    </row>
    <row r="2110" spans="1:5" x14ac:dyDescent="0.3">
      <c r="A2110" t="s">
        <v>4</v>
      </c>
      <c r="B2110" s="1" t="s">
        <v>13</v>
      </c>
      <c r="C2110" t="s">
        <v>11</v>
      </c>
      <c r="D2110" t="s">
        <v>9</v>
      </c>
      <c r="E2110" t="s">
        <v>23</v>
      </c>
    </row>
    <row r="2111" spans="1:5" x14ac:dyDescent="0.3">
      <c r="A2111" t="s">
        <v>4</v>
      </c>
      <c r="B2111" s="1" t="s">
        <v>13</v>
      </c>
      <c r="C2111" t="s">
        <v>11</v>
      </c>
      <c r="D2111" t="s">
        <v>9</v>
      </c>
      <c r="E2111" t="s">
        <v>23</v>
      </c>
    </row>
    <row r="2112" spans="1:5" x14ac:dyDescent="0.3">
      <c r="A2112" t="s">
        <v>4</v>
      </c>
      <c r="B2112" s="1" t="s">
        <v>13</v>
      </c>
      <c r="C2112" t="s">
        <v>12</v>
      </c>
      <c r="D2112" t="s">
        <v>5</v>
      </c>
      <c r="E2112" t="s">
        <v>25</v>
      </c>
    </row>
    <row r="2113" spans="1:5" x14ac:dyDescent="0.3">
      <c r="A2113" t="s">
        <v>4</v>
      </c>
      <c r="B2113" s="1" t="s">
        <v>13</v>
      </c>
      <c r="C2113" t="s">
        <v>12</v>
      </c>
      <c r="D2113" t="s">
        <v>6</v>
      </c>
      <c r="E2113" t="s">
        <v>25</v>
      </c>
    </row>
    <row r="2114" spans="1:5" x14ac:dyDescent="0.3">
      <c r="A2114" t="s">
        <v>4</v>
      </c>
      <c r="B2114" s="1" t="s">
        <v>13</v>
      </c>
      <c r="C2114" t="s">
        <v>12</v>
      </c>
      <c r="D2114" t="s">
        <v>7</v>
      </c>
      <c r="E2114" t="s">
        <v>25</v>
      </c>
    </row>
    <row r="2115" spans="1:5" x14ac:dyDescent="0.3">
      <c r="A2115" t="s">
        <v>4</v>
      </c>
      <c r="B2115" s="1" t="s">
        <v>13</v>
      </c>
      <c r="C2115" t="s">
        <v>12</v>
      </c>
      <c r="D2115" t="s">
        <v>8</v>
      </c>
      <c r="E2115" t="s">
        <v>25</v>
      </c>
    </row>
    <row r="2116" spans="1:5" x14ac:dyDescent="0.3">
      <c r="A2116" t="s">
        <v>4</v>
      </c>
      <c r="B2116" s="1" t="s">
        <v>13</v>
      </c>
      <c r="C2116" t="s">
        <v>11</v>
      </c>
      <c r="D2116" t="s">
        <v>9</v>
      </c>
      <c r="E2116" t="s">
        <v>25</v>
      </c>
    </row>
    <row r="2117" spans="1:5" x14ac:dyDescent="0.3">
      <c r="A2117" t="s">
        <v>4</v>
      </c>
      <c r="B2117" s="1" t="s">
        <v>13</v>
      </c>
      <c r="C2117" t="s">
        <v>12</v>
      </c>
      <c r="D2117" t="s">
        <v>5</v>
      </c>
      <c r="E2117" t="s">
        <v>25</v>
      </c>
    </row>
    <row r="2118" spans="1:5" x14ac:dyDescent="0.3">
      <c r="A2118" t="s">
        <v>4</v>
      </c>
      <c r="B2118" s="1" t="s">
        <v>13</v>
      </c>
      <c r="C2118" t="s">
        <v>12</v>
      </c>
      <c r="D2118" t="s">
        <v>6</v>
      </c>
      <c r="E2118" t="s">
        <v>25</v>
      </c>
    </row>
    <row r="2119" spans="1:5" x14ac:dyDescent="0.3">
      <c r="A2119" t="s">
        <v>4</v>
      </c>
      <c r="B2119" s="1" t="s">
        <v>13</v>
      </c>
      <c r="C2119" t="s">
        <v>11</v>
      </c>
      <c r="D2119" t="s">
        <v>7</v>
      </c>
      <c r="E2119" t="s">
        <v>25</v>
      </c>
    </row>
    <row r="2120" spans="1:5" x14ac:dyDescent="0.3">
      <c r="A2120" t="s">
        <v>4</v>
      </c>
      <c r="B2120" s="1" t="s">
        <v>13</v>
      </c>
      <c r="C2120" t="s">
        <v>12</v>
      </c>
      <c r="D2120" t="s">
        <v>8</v>
      </c>
      <c r="E2120" t="s">
        <v>25</v>
      </c>
    </row>
    <row r="2121" spans="1:5" x14ac:dyDescent="0.3">
      <c r="A2121" t="s">
        <v>4</v>
      </c>
      <c r="B2121" s="1" t="s">
        <v>13</v>
      </c>
      <c r="C2121" t="s">
        <v>11</v>
      </c>
      <c r="D2121" t="s">
        <v>9</v>
      </c>
      <c r="E2121" t="s">
        <v>25</v>
      </c>
    </row>
    <row r="2122" spans="1:5" x14ac:dyDescent="0.3">
      <c r="A2122" t="s">
        <v>4</v>
      </c>
      <c r="B2122" s="1" t="s">
        <v>13</v>
      </c>
      <c r="C2122" t="s">
        <v>12</v>
      </c>
      <c r="D2122" t="s">
        <v>5</v>
      </c>
      <c r="E2122" t="s">
        <v>25</v>
      </c>
    </row>
    <row r="2123" spans="1:5" x14ac:dyDescent="0.3">
      <c r="A2123" t="s">
        <v>4</v>
      </c>
      <c r="B2123" s="1" t="s">
        <v>13</v>
      </c>
      <c r="C2123" t="s">
        <v>12</v>
      </c>
      <c r="D2123" t="s">
        <v>6</v>
      </c>
      <c r="E2123" t="s">
        <v>25</v>
      </c>
    </row>
    <row r="2124" spans="1:5" x14ac:dyDescent="0.3">
      <c r="A2124" t="s">
        <v>4</v>
      </c>
      <c r="B2124" s="1" t="s">
        <v>13</v>
      </c>
      <c r="C2124" t="s">
        <v>12</v>
      </c>
      <c r="D2124" t="s">
        <v>7</v>
      </c>
      <c r="E2124" t="s">
        <v>25</v>
      </c>
    </row>
    <row r="2125" spans="1:5" x14ac:dyDescent="0.3">
      <c r="A2125" t="s">
        <v>4</v>
      </c>
      <c r="B2125" s="1" t="s">
        <v>13</v>
      </c>
      <c r="C2125" t="s">
        <v>12</v>
      </c>
      <c r="D2125" t="s">
        <v>8</v>
      </c>
      <c r="E2125" t="s">
        <v>25</v>
      </c>
    </row>
    <row r="2126" spans="1:5" x14ac:dyDescent="0.3">
      <c r="A2126" t="s">
        <v>4</v>
      </c>
      <c r="B2126" s="1" t="s">
        <v>13</v>
      </c>
      <c r="C2126" t="s">
        <v>11</v>
      </c>
      <c r="D2126" t="s">
        <v>9</v>
      </c>
      <c r="E2126" t="s">
        <v>25</v>
      </c>
    </row>
    <row r="2127" spans="1:5" x14ac:dyDescent="0.3">
      <c r="A2127" t="s">
        <v>4</v>
      </c>
      <c r="B2127" s="1" t="s">
        <v>13</v>
      </c>
      <c r="C2127" t="s">
        <v>12</v>
      </c>
      <c r="D2127" t="s">
        <v>5</v>
      </c>
      <c r="E2127" t="s">
        <v>25</v>
      </c>
    </row>
    <row r="2128" spans="1:5" x14ac:dyDescent="0.3">
      <c r="A2128" t="s">
        <v>4</v>
      </c>
      <c r="B2128" s="1" t="s">
        <v>13</v>
      </c>
      <c r="C2128" t="s">
        <v>12</v>
      </c>
      <c r="D2128" t="s">
        <v>6</v>
      </c>
      <c r="E2128" t="s">
        <v>25</v>
      </c>
    </row>
    <row r="2129" spans="1:5" x14ac:dyDescent="0.3">
      <c r="A2129" t="s">
        <v>4</v>
      </c>
      <c r="B2129" s="1" t="s">
        <v>13</v>
      </c>
      <c r="C2129" t="s">
        <v>11</v>
      </c>
      <c r="D2129" t="s">
        <v>7</v>
      </c>
      <c r="E2129" t="s">
        <v>25</v>
      </c>
    </row>
    <row r="2130" spans="1:5" x14ac:dyDescent="0.3">
      <c r="A2130" t="s">
        <v>4</v>
      </c>
      <c r="B2130" s="1" t="s">
        <v>13</v>
      </c>
      <c r="C2130" t="s">
        <v>12</v>
      </c>
      <c r="D2130" t="s">
        <v>8</v>
      </c>
      <c r="E2130" t="s">
        <v>25</v>
      </c>
    </row>
    <row r="2131" spans="1:5" x14ac:dyDescent="0.3">
      <c r="A2131" t="s">
        <v>4</v>
      </c>
      <c r="B2131" s="1" t="s">
        <v>13</v>
      </c>
      <c r="C2131" t="s">
        <v>11</v>
      </c>
      <c r="D2131" t="s">
        <v>9</v>
      </c>
      <c r="E2131" t="s">
        <v>25</v>
      </c>
    </row>
    <row r="2132" spans="1:5" x14ac:dyDescent="0.3">
      <c r="A2132" t="s">
        <v>4</v>
      </c>
      <c r="B2132" s="1" t="s">
        <v>13</v>
      </c>
      <c r="C2132" t="s">
        <v>12</v>
      </c>
      <c r="D2132" t="s">
        <v>5</v>
      </c>
      <c r="E2132" t="s">
        <v>25</v>
      </c>
    </row>
    <row r="2133" spans="1:5" x14ac:dyDescent="0.3">
      <c r="A2133" t="s">
        <v>4</v>
      </c>
      <c r="B2133" s="1" t="s">
        <v>13</v>
      </c>
      <c r="C2133" t="s">
        <v>12</v>
      </c>
      <c r="D2133" t="s">
        <v>6</v>
      </c>
      <c r="E2133" t="s">
        <v>25</v>
      </c>
    </row>
    <row r="2134" spans="1:5" x14ac:dyDescent="0.3">
      <c r="A2134" t="s">
        <v>4</v>
      </c>
      <c r="B2134" s="1" t="s">
        <v>13</v>
      </c>
      <c r="C2134" t="s">
        <v>12</v>
      </c>
      <c r="D2134" t="s">
        <v>7</v>
      </c>
      <c r="E2134" t="s">
        <v>25</v>
      </c>
    </row>
    <row r="2135" spans="1:5" x14ac:dyDescent="0.3">
      <c r="A2135" t="s">
        <v>4</v>
      </c>
      <c r="B2135" s="1" t="s">
        <v>13</v>
      </c>
      <c r="C2135" t="s">
        <v>12</v>
      </c>
      <c r="D2135" t="s">
        <v>8</v>
      </c>
      <c r="E2135" t="s">
        <v>25</v>
      </c>
    </row>
    <row r="2136" spans="1:5" x14ac:dyDescent="0.3">
      <c r="A2136" t="s">
        <v>4</v>
      </c>
      <c r="B2136" s="1" t="s">
        <v>13</v>
      </c>
      <c r="C2136" t="s">
        <v>11</v>
      </c>
      <c r="D2136" t="s">
        <v>9</v>
      </c>
      <c r="E2136" t="s">
        <v>25</v>
      </c>
    </row>
    <row r="2137" spans="1:5" x14ac:dyDescent="0.3">
      <c r="A2137" t="s">
        <v>4</v>
      </c>
      <c r="B2137" s="1" t="s">
        <v>13</v>
      </c>
      <c r="C2137" t="s">
        <v>12</v>
      </c>
      <c r="D2137" t="s">
        <v>5</v>
      </c>
      <c r="E2137" t="s">
        <v>25</v>
      </c>
    </row>
    <row r="2138" spans="1:5" x14ac:dyDescent="0.3">
      <c r="A2138" t="s">
        <v>4</v>
      </c>
      <c r="B2138" s="1" t="s">
        <v>13</v>
      </c>
      <c r="C2138" t="s">
        <v>12</v>
      </c>
      <c r="D2138" t="s">
        <v>6</v>
      </c>
      <c r="E2138" t="s">
        <v>25</v>
      </c>
    </row>
    <row r="2139" spans="1:5" x14ac:dyDescent="0.3">
      <c r="A2139" t="s">
        <v>4</v>
      </c>
      <c r="B2139" s="1" t="s">
        <v>13</v>
      </c>
      <c r="C2139" t="s">
        <v>11</v>
      </c>
      <c r="D2139" t="s">
        <v>7</v>
      </c>
      <c r="E2139" t="s">
        <v>25</v>
      </c>
    </row>
    <row r="2140" spans="1:5" x14ac:dyDescent="0.3">
      <c r="A2140" t="s">
        <v>4</v>
      </c>
      <c r="B2140" s="1" t="s">
        <v>13</v>
      </c>
      <c r="C2140" t="s">
        <v>12</v>
      </c>
      <c r="D2140" t="s">
        <v>8</v>
      </c>
      <c r="E2140" t="s">
        <v>25</v>
      </c>
    </row>
    <row r="2141" spans="1:5" x14ac:dyDescent="0.3">
      <c r="A2141" t="s">
        <v>4</v>
      </c>
      <c r="B2141" s="1" t="s">
        <v>13</v>
      </c>
      <c r="C2141" t="s">
        <v>11</v>
      </c>
      <c r="D2141" t="s">
        <v>9</v>
      </c>
      <c r="E2141" t="s">
        <v>25</v>
      </c>
    </row>
    <row r="2142" spans="1:5" x14ac:dyDescent="0.3">
      <c r="A2142" t="s">
        <v>4</v>
      </c>
      <c r="B2142" s="1" t="s">
        <v>13</v>
      </c>
      <c r="C2142" t="s">
        <v>12</v>
      </c>
      <c r="D2142" t="s">
        <v>5</v>
      </c>
      <c r="E2142" t="s">
        <v>25</v>
      </c>
    </row>
    <row r="2143" spans="1:5" x14ac:dyDescent="0.3">
      <c r="A2143" t="s">
        <v>4</v>
      </c>
      <c r="B2143" s="1" t="s">
        <v>13</v>
      </c>
      <c r="C2143" t="s">
        <v>12</v>
      </c>
      <c r="D2143" t="s">
        <v>6</v>
      </c>
      <c r="E2143" t="s">
        <v>25</v>
      </c>
    </row>
    <row r="2144" spans="1:5" x14ac:dyDescent="0.3">
      <c r="A2144" t="s">
        <v>4</v>
      </c>
      <c r="B2144" s="1" t="s">
        <v>13</v>
      </c>
      <c r="C2144" t="s">
        <v>11</v>
      </c>
      <c r="D2144" t="s">
        <v>7</v>
      </c>
      <c r="E2144" t="s">
        <v>25</v>
      </c>
    </row>
    <row r="2145" spans="1:5" x14ac:dyDescent="0.3">
      <c r="A2145" t="s">
        <v>4</v>
      </c>
      <c r="B2145" s="1" t="s">
        <v>13</v>
      </c>
      <c r="C2145" t="s">
        <v>12</v>
      </c>
      <c r="D2145" t="s">
        <v>8</v>
      </c>
      <c r="E2145" t="s">
        <v>25</v>
      </c>
    </row>
    <row r="2146" spans="1:5" x14ac:dyDescent="0.3">
      <c r="A2146" t="s">
        <v>4</v>
      </c>
      <c r="B2146" s="1" t="s">
        <v>13</v>
      </c>
      <c r="C2146" t="s">
        <v>11</v>
      </c>
      <c r="D2146" t="s">
        <v>9</v>
      </c>
      <c r="E2146" t="s">
        <v>25</v>
      </c>
    </row>
    <row r="2147" spans="1:5" x14ac:dyDescent="0.3">
      <c r="A2147" t="s">
        <v>4</v>
      </c>
      <c r="B2147" s="1" t="s">
        <v>13</v>
      </c>
      <c r="C2147" t="s">
        <v>11</v>
      </c>
      <c r="D2147" t="s">
        <v>5</v>
      </c>
      <c r="E2147" t="s">
        <v>25</v>
      </c>
    </row>
    <row r="2148" spans="1:5" x14ac:dyDescent="0.3">
      <c r="A2148" t="s">
        <v>4</v>
      </c>
      <c r="B2148" s="1" t="s">
        <v>13</v>
      </c>
      <c r="C2148" t="s">
        <v>12</v>
      </c>
      <c r="D2148" t="s">
        <v>6</v>
      </c>
      <c r="E2148" t="s">
        <v>25</v>
      </c>
    </row>
    <row r="2149" spans="1:5" x14ac:dyDescent="0.3">
      <c r="A2149" t="s">
        <v>4</v>
      </c>
      <c r="B2149" s="1" t="s">
        <v>13</v>
      </c>
      <c r="C2149" t="s">
        <v>12</v>
      </c>
      <c r="D2149" t="s">
        <v>7</v>
      </c>
      <c r="E2149" t="s">
        <v>25</v>
      </c>
    </row>
    <row r="2150" spans="1:5" x14ac:dyDescent="0.3">
      <c r="A2150" t="s">
        <v>4</v>
      </c>
      <c r="B2150" s="1" t="s">
        <v>13</v>
      </c>
      <c r="C2150" t="s">
        <v>12</v>
      </c>
      <c r="D2150" t="s">
        <v>8</v>
      </c>
      <c r="E2150" t="s">
        <v>25</v>
      </c>
    </row>
    <row r="2151" spans="1:5" x14ac:dyDescent="0.3">
      <c r="A2151" t="s">
        <v>4</v>
      </c>
      <c r="B2151" s="1" t="s">
        <v>13</v>
      </c>
      <c r="C2151" t="s">
        <v>11</v>
      </c>
      <c r="D2151" t="s">
        <v>9</v>
      </c>
      <c r="E2151" t="s">
        <v>25</v>
      </c>
    </row>
    <row r="2152" spans="1:5" x14ac:dyDescent="0.3">
      <c r="A2152" t="s">
        <v>4</v>
      </c>
      <c r="B2152" s="1" t="s">
        <v>13</v>
      </c>
      <c r="C2152" t="s">
        <v>12</v>
      </c>
      <c r="D2152" t="s">
        <v>5</v>
      </c>
      <c r="E2152" t="s">
        <v>25</v>
      </c>
    </row>
    <row r="2153" spans="1:5" x14ac:dyDescent="0.3">
      <c r="A2153" t="s">
        <v>4</v>
      </c>
      <c r="B2153" s="1" t="s">
        <v>13</v>
      </c>
      <c r="C2153" t="s">
        <v>12</v>
      </c>
      <c r="D2153" t="s">
        <v>6</v>
      </c>
      <c r="E2153" t="s">
        <v>25</v>
      </c>
    </row>
    <row r="2154" spans="1:5" x14ac:dyDescent="0.3">
      <c r="A2154" t="s">
        <v>4</v>
      </c>
      <c r="B2154" s="1" t="s">
        <v>13</v>
      </c>
      <c r="C2154" t="s">
        <v>12</v>
      </c>
      <c r="D2154" t="s">
        <v>7</v>
      </c>
      <c r="E2154" t="s">
        <v>25</v>
      </c>
    </row>
    <row r="2155" spans="1:5" x14ac:dyDescent="0.3">
      <c r="A2155" t="s">
        <v>4</v>
      </c>
      <c r="B2155" s="1" t="s">
        <v>13</v>
      </c>
      <c r="C2155" t="s">
        <v>12</v>
      </c>
      <c r="D2155" t="s">
        <v>8</v>
      </c>
      <c r="E2155" t="s">
        <v>25</v>
      </c>
    </row>
    <row r="2156" spans="1:5" x14ac:dyDescent="0.3">
      <c r="A2156" t="s">
        <v>4</v>
      </c>
      <c r="B2156" s="1" t="s">
        <v>13</v>
      </c>
      <c r="C2156" t="s">
        <v>11</v>
      </c>
      <c r="D2156" t="s">
        <v>9</v>
      </c>
      <c r="E2156" t="s">
        <v>25</v>
      </c>
    </row>
    <row r="2157" spans="1:5" x14ac:dyDescent="0.3">
      <c r="A2157" t="s">
        <v>4</v>
      </c>
      <c r="B2157" s="1" t="s">
        <v>13</v>
      </c>
      <c r="C2157" t="s">
        <v>12</v>
      </c>
      <c r="D2157" t="s">
        <v>5</v>
      </c>
      <c r="E2157" t="s">
        <v>25</v>
      </c>
    </row>
    <row r="2158" spans="1:5" x14ac:dyDescent="0.3">
      <c r="A2158" t="s">
        <v>4</v>
      </c>
      <c r="B2158" s="1" t="s">
        <v>13</v>
      </c>
      <c r="C2158" t="s">
        <v>12</v>
      </c>
      <c r="D2158" t="s">
        <v>6</v>
      </c>
      <c r="E2158" t="s">
        <v>25</v>
      </c>
    </row>
    <row r="2159" spans="1:5" x14ac:dyDescent="0.3">
      <c r="A2159" t="s">
        <v>4</v>
      </c>
      <c r="B2159" s="1" t="s">
        <v>13</v>
      </c>
      <c r="C2159" t="s">
        <v>11</v>
      </c>
      <c r="D2159" t="s">
        <v>7</v>
      </c>
      <c r="E2159" t="s">
        <v>25</v>
      </c>
    </row>
    <row r="2160" spans="1:5" x14ac:dyDescent="0.3">
      <c r="A2160" t="s">
        <v>4</v>
      </c>
      <c r="B2160" s="1" t="s">
        <v>13</v>
      </c>
      <c r="C2160" t="s">
        <v>12</v>
      </c>
      <c r="D2160" t="s">
        <v>8</v>
      </c>
      <c r="E2160" t="s">
        <v>25</v>
      </c>
    </row>
    <row r="2161" spans="1:5" x14ac:dyDescent="0.3">
      <c r="A2161" t="s">
        <v>4</v>
      </c>
      <c r="B2161" s="1" t="s">
        <v>13</v>
      </c>
      <c r="C2161" t="s">
        <v>11</v>
      </c>
      <c r="D2161" t="s">
        <v>9</v>
      </c>
      <c r="E2161" t="s">
        <v>25</v>
      </c>
    </row>
    <row r="2162" spans="1:5" x14ac:dyDescent="0.3">
      <c r="A2162" t="s">
        <v>4</v>
      </c>
      <c r="B2162" s="1" t="s">
        <v>13</v>
      </c>
      <c r="C2162" t="s">
        <v>12</v>
      </c>
      <c r="D2162" t="s">
        <v>5</v>
      </c>
      <c r="E2162" t="s">
        <v>25</v>
      </c>
    </row>
    <row r="2163" spans="1:5" x14ac:dyDescent="0.3">
      <c r="A2163" t="s">
        <v>4</v>
      </c>
      <c r="B2163" s="1" t="s">
        <v>13</v>
      </c>
      <c r="C2163" t="s">
        <v>12</v>
      </c>
      <c r="D2163" t="s">
        <v>6</v>
      </c>
      <c r="E2163" t="s">
        <v>25</v>
      </c>
    </row>
    <row r="2164" spans="1:5" x14ac:dyDescent="0.3">
      <c r="A2164" t="s">
        <v>4</v>
      </c>
      <c r="B2164" s="1" t="s">
        <v>13</v>
      </c>
      <c r="C2164" t="s">
        <v>11</v>
      </c>
      <c r="D2164" t="s">
        <v>7</v>
      </c>
      <c r="E2164" t="s">
        <v>25</v>
      </c>
    </row>
    <row r="2165" spans="1:5" x14ac:dyDescent="0.3">
      <c r="A2165" t="s">
        <v>4</v>
      </c>
      <c r="B2165" s="1" t="s">
        <v>13</v>
      </c>
      <c r="C2165" t="s">
        <v>12</v>
      </c>
      <c r="D2165" t="s">
        <v>8</v>
      </c>
      <c r="E2165" t="s">
        <v>25</v>
      </c>
    </row>
    <row r="2166" spans="1:5" x14ac:dyDescent="0.3">
      <c r="A2166" t="s">
        <v>4</v>
      </c>
      <c r="B2166" s="1" t="s">
        <v>13</v>
      </c>
      <c r="C2166" t="s">
        <v>11</v>
      </c>
      <c r="D2166" t="s">
        <v>9</v>
      </c>
      <c r="E2166" t="s">
        <v>25</v>
      </c>
    </row>
    <row r="2167" spans="1:5" x14ac:dyDescent="0.3">
      <c r="A2167" t="s">
        <v>4</v>
      </c>
      <c r="B2167" s="1" t="s">
        <v>13</v>
      </c>
      <c r="C2167" t="s">
        <v>12</v>
      </c>
      <c r="D2167" t="s">
        <v>5</v>
      </c>
      <c r="E2167" t="s">
        <v>25</v>
      </c>
    </row>
    <row r="2168" spans="1:5" x14ac:dyDescent="0.3">
      <c r="A2168" t="s">
        <v>4</v>
      </c>
      <c r="B2168" s="1" t="s">
        <v>13</v>
      </c>
      <c r="C2168" t="s">
        <v>12</v>
      </c>
      <c r="D2168" t="s">
        <v>6</v>
      </c>
      <c r="E2168" t="s">
        <v>25</v>
      </c>
    </row>
    <row r="2169" spans="1:5" x14ac:dyDescent="0.3">
      <c r="A2169" t="s">
        <v>4</v>
      </c>
      <c r="B2169" s="1" t="s">
        <v>13</v>
      </c>
      <c r="C2169" t="s">
        <v>11</v>
      </c>
      <c r="D2169" t="s">
        <v>7</v>
      </c>
      <c r="E2169" t="s">
        <v>25</v>
      </c>
    </row>
    <row r="2170" spans="1:5" x14ac:dyDescent="0.3">
      <c r="A2170" t="s">
        <v>4</v>
      </c>
      <c r="B2170" s="1" t="s">
        <v>13</v>
      </c>
      <c r="C2170" t="s">
        <v>12</v>
      </c>
      <c r="D2170" t="s">
        <v>8</v>
      </c>
      <c r="E2170" t="s">
        <v>25</v>
      </c>
    </row>
    <row r="2171" spans="1:5" x14ac:dyDescent="0.3">
      <c r="A2171" t="s">
        <v>4</v>
      </c>
      <c r="B2171" s="1" t="s">
        <v>13</v>
      </c>
      <c r="C2171" t="s">
        <v>11</v>
      </c>
      <c r="D2171" t="s">
        <v>9</v>
      </c>
      <c r="E2171" t="s">
        <v>25</v>
      </c>
    </row>
    <row r="2172" spans="1:5" x14ac:dyDescent="0.3">
      <c r="A2172" t="s">
        <v>4</v>
      </c>
      <c r="B2172" s="1" t="s">
        <v>13</v>
      </c>
      <c r="C2172" t="s">
        <v>12</v>
      </c>
      <c r="D2172" t="s">
        <v>5</v>
      </c>
      <c r="E2172" t="s">
        <v>25</v>
      </c>
    </row>
    <row r="2173" spans="1:5" x14ac:dyDescent="0.3">
      <c r="A2173" t="s">
        <v>4</v>
      </c>
      <c r="B2173" s="1" t="s">
        <v>13</v>
      </c>
      <c r="C2173" t="s">
        <v>12</v>
      </c>
      <c r="D2173" t="s">
        <v>6</v>
      </c>
      <c r="E2173" t="s">
        <v>25</v>
      </c>
    </row>
    <row r="2174" spans="1:5" x14ac:dyDescent="0.3">
      <c r="A2174" t="s">
        <v>4</v>
      </c>
      <c r="B2174" s="1" t="s">
        <v>13</v>
      </c>
      <c r="C2174" t="s">
        <v>12</v>
      </c>
      <c r="D2174" t="s">
        <v>7</v>
      </c>
      <c r="E2174" t="s">
        <v>25</v>
      </c>
    </row>
    <row r="2175" spans="1:5" x14ac:dyDescent="0.3">
      <c r="A2175" t="s">
        <v>4</v>
      </c>
      <c r="B2175" s="1" t="s">
        <v>13</v>
      </c>
      <c r="C2175" t="s">
        <v>12</v>
      </c>
      <c r="D2175" t="s">
        <v>8</v>
      </c>
      <c r="E2175" t="s">
        <v>25</v>
      </c>
    </row>
    <row r="2176" spans="1:5" x14ac:dyDescent="0.3">
      <c r="A2176" t="s">
        <v>4</v>
      </c>
      <c r="B2176" s="1" t="s">
        <v>13</v>
      </c>
      <c r="C2176" t="s">
        <v>11</v>
      </c>
      <c r="D2176" t="s">
        <v>9</v>
      </c>
      <c r="E2176" t="s">
        <v>25</v>
      </c>
    </row>
    <row r="2177" spans="1:5" x14ac:dyDescent="0.3">
      <c r="A2177" t="s">
        <v>4</v>
      </c>
      <c r="B2177" s="1" t="s">
        <v>13</v>
      </c>
      <c r="C2177" t="s">
        <v>12</v>
      </c>
      <c r="D2177" t="s">
        <v>5</v>
      </c>
      <c r="E2177" t="s">
        <v>25</v>
      </c>
    </row>
    <row r="2178" spans="1:5" x14ac:dyDescent="0.3">
      <c r="A2178" t="s">
        <v>4</v>
      </c>
      <c r="B2178" s="1" t="s">
        <v>13</v>
      </c>
      <c r="C2178" t="s">
        <v>12</v>
      </c>
      <c r="D2178" t="s">
        <v>6</v>
      </c>
      <c r="E2178" t="s">
        <v>25</v>
      </c>
    </row>
    <row r="2179" spans="1:5" x14ac:dyDescent="0.3">
      <c r="A2179" t="s">
        <v>4</v>
      </c>
      <c r="B2179" s="1" t="s">
        <v>13</v>
      </c>
      <c r="C2179" t="s">
        <v>11</v>
      </c>
      <c r="D2179" t="s">
        <v>7</v>
      </c>
      <c r="E2179" t="s">
        <v>25</v>
      </c>
    </row>
    <row r="2180" spans="1:5" x14ac:dyDescent="0.3">
      <c r="A2180" t="s">
        <v>4</v>
      </c>
      <c r="B2180" s="1" t="s">
        <v>13</v>
      </c>
      <c r="C2180" t="s">
        <v>12</v>
      </c>
      <c r="D2180" t="s">
        <v>8</v>
      </c>
      <c r="E2180" t="s">
        <v>25</v>
      </c>
    </row>
    <row r="2181" spans="1:5" x14ac:dyDescent="0.3">
      <c r="A2181" t="s">
        <v>4</v>
      </c>
      <c r="B2181" s="1" t="s">
        <v>13</v>
      </c>
      <c r="C2181" t="s">
        <v>11</v>
      </c>
      <c r="D2181" t="s">
        <v>9</v>
      </c>
      <c r="E2181" t="s">
        <v>25</v>
      </c>
    </row>
    <row r="2182" spans="1:5" x14ac:dyDescent="0.3">
      <c r="A2182" t="s">
        <v>4</v>
      </c>
      <c r="B2182" s="1" t="s">
        <v>13</v>
      </c>
      <c r="C2182" t="s">
        <v>12</v>
      </c>
      <c r="D2182" t="s">
        <v>5</v>
      </c>
      <c r="E2182" t="s">
        <v>25</v>
      </c>
    </row>
    <row r="2183" spans="1:5" x14ac:dyDescent="0.3">
      <c r="A2183" t="s">
        <v>4</v>
      </c>
      <c r="B2183" s="1" t="s">
        <v>13</v>
      </c>
      <c r="C2183" t="s">
        <v>12</v>
      </c>
      <c r="D2183" t="s">
        <v>6</v>
      </c>
      <c r="E2183" t="s">
        <v>25</v>
      </c>
    </row>
    <row r="2184" spans="1:5" x14ac:dyDescent="0.3">
      <c r="A2184" t="s">
        <v>4</v>
      </c>
      <c r="B2184" s="1" t="s">
        <v>13</v>
      </c>
      <c r="C2184" t="s">
        <v>11</v>
      </c>
      <c r="D2184" t="s">
        <v>7</v>
      </c>
      <c r="E2184" t="s">
        <v>25</v>
      </c>
    </row>
    <row r="2185" spans="1:5" x14ac:dyDescent="0.3">
      <c r="A2185" t="s">
        <v>4</v>
      </c>
      <c r="B2185" s="1" t="s">
        <v>13</v>
      </c>
      <c r="C2185" t="s">
        <v>12</v>
      </c>
      <c r="D2185" t="s">
        <v>8</v>
      </c>
      <c r="E2185" t="s">
        <v>25</v>
      </c>
    </row>
    <row r="2186" spans="1:5" x14ac:dyDescent="0.3">
      <c r="A2186" t="s">
        <v>4</v>
      </c>
      <c r="B2186" s="1" t="s">
        <v>13</v>
      </c>
      <c r="C2186" t="s">
        <v>11</v>
      </c>
      <c r="D2186" t="s">
        <v>9</v>
      </c>
      <c r="E2186" t="s">
        <v>25</v>
      </c>
    </row>
    <row r="2187" spans="1:5" x14ac:dyDescent="0.3">
      <c r="A2187" t="s">
        <v>4</v>
      </c>
      <c r="B2187" s="1" t="s">
        <v>13</v>
      </c>
      <c r="C2187" t="s">
        <v>12</v>
      </c>
      <c r="D2187" t="s">
        <v>5</v>
      </c>
      <c r="E2187" t="s">
        <v>25</v>
      </c>
    </row>
    <row r="2188" spans="1:5" x14ac:dyDescent="0.3">
      <c r="A2188" t="s">
        <v>4</v>
      </c>
      <c r="B2188" s="1" t="s">
        <v>13</v>
      </c>
      <c r="C2188" t="s">
        <v>12</v>
      </c>
      <c r="D2188" t="s">
        <v>6</v>
      </c>
      <c r="E2188" t="s">
        <v>25</v>
      </c>
    </row>
    <row r="2189" spans="1:5" x14ac:dyDescent="0.3">
      <c r="A2189" t="s">
        <v>4</v>
      </c>
      <c r="B2189" s="1" t="s">
        <v>13</v>
      </c>
      <c r="C2189" t="s">
        <v>12</v>
      </c>
      <c r="D2189" t="s">
        <v>7</v>
      </c>
      <c r="E2189" t="s">
        <v>25</v>
      </c>
    </row>
    <row r="2190" spans="1:5" x14ac:dyDescent="0.3">
      <c r="A2190" t="s">
        <v>4</v>
      </c>
      <c r="B2190" s="1" t="s">
        <v>13</v>
      </c>
      <c r="C2190" t="s">
        <v>12</v>
      </c>
      <c r="D2190" t="s">
        <v>8</v>
      </c>
      <c r="E2190" t="s">
        <v>25</v>
      </c>
    </row>
    <row r="2191" spans="1:5" x14ac:dyDescent="0.3">
      <c r="A2191" t="s">
        <v>4</v>
      </c>
      <c r="B2191" s="1" t="s">
        <v>13</v>
      </c>
      <c r="C2191" t="s">
        <v>11</v>
      </c>
      <c r="D2191" t="s">
        <v>9</v>
      </c>
      <c r="E2191" t="s">
        <v>25</v>
      </c>
    </row>
    <row r="2192" spans="1:5" x14ac:dyDescent="0.3">
      <c r="A2192" t="s">
        <v>4</v>
      </c>
      <c r="B2192" s="1" t="s">
        <v>13</v>
      </c>
      <c r="C2192" t="s">
        <v>12</v>
      </c>
      <c r="D2192" t="s">
        <v>5</v>
      </c>
      <c r="E2192" t="s">
        <v>25</v>
      </c>
    </row>
    <row r="2193" spans="1:5" x14ac:dyDescent="0.3">
      <c r="A2193" t="s">
        <v>4</v>
      </c>
      <c r="B2193" s="1" t="s">
        <v>13</v>
      </c>
      <c r="C2193" t="s">
        <v>12</v>
      </c>
      <c r="D2193" t="s">
        <v>6</v>
      </c>
      <c r="E2193" t="s">
        <v>25</v>
      </c>
    </row>
    <row r="2194" spans="1:5" x14ac:dyDescent="0.3">
      <c r="A2194" t="s">
        <v>4</v>
      </c>
      <c r="B2194" s="1" t="s">
        <v>13</v>
      </c>
      <c r="C2194" t="s">
        <v>11</v>
      </c>
      <c r="D2194" t="s">
        <v>7</v>
      </c>
      <c r="E2194" t="s">
        <v>25</v>
      </c>
    </row>
    <row r="2195" spans="1:5" x14ac:dyDescent="0.3">
      <c r="A2195" t="s">
        <v>4</v>
      </c>
      <c r="B2195" s="1" t="s">
        <v>13</v>
      </c>
      <c r="C2195" t="s">
        <v>12</v>
      </c>
      <c r="D2195" t="s">
        <v>8</v>
      </c>
      <c r="E2195" t="s">
        <v>25</v>
      </c>
    </row>
    <row r="2196" spans="1:5" x14ac:dyDescent="0.3">
      <c r="A2196" t="s">
        <v>4</v>
      </c>
      <c r="B2196" s="1" t="s">
        <v>13</v>
      </c>
      <c r="C2196" t="s">
        <v>11</v>
      </c>
      <c r="D2196" t="s">
        <v>9</v>
      </c>
      <c r="E2196" t="s">
        <v>25</v>
      </c>
    </row>
    <row r="2197" spans="1:5" x14ac:dyDescent="0.3">
      <c r="A2197" t="s">
        <v>4</v>
      </c>
      <c r="B2197" s="1" t="s">
        <v>13</v>
      </c>
      <c r="C2197" t="s">
        <v>12</v>
      </c>
      <c r="D2197" t="s">
        <v>5</v>
      </c>
      <c r="E2197" t="s">
        <v>25</v>
      </c>
    </row>
    <row r="2198" spans="1:5" x14ac:dyDescent="0.3">
      <c r="A2198" t="s">
        <v>4</v>
      </c>
      <c r="B2198" s="1" t="s">
        <v>13</v>
      </c>
      <c r="C2198" t="s">
        <v>12</v>
      </c>
      <c r="D2198" t="s">
        <v>6</v>
      </c>
      <c r="E2198" t="s">
        <v>25</v>
      </c>
    </row>
    <row r="2199" spans="1:5" x14ac:dyDescent="0.3">
      <c r="A2199" t="s">
        <v>4</v>
      </c>
      <c r="B2199" s="1" t="s">
        <v>13</v>
      </c>
      <c r="C2199" t="s">
        <v>10</v>
      </c>
      <c r="D2199" t="s">
        <v>7</v>
      </c>
      <c r="E2199" t="s">
        <v>25</v>
      </c>
    </row>
    <row r="2200" spans="1:5" x14ac:dyDescent="0.3">
      <c r="A2200" t="s">
        <v>4</v>
      </c>
      <c r="B2200" s="1" t="s">
        <v>13</v>
      </c>
      <c r="C2200" t="s">
        <v>12</v>
      </c>
      <c r="D2200" t="s">
        <v>8</v>
      </c>
      <c r="E2200" t="s">
        <v>25</v>
      </c>
    </row>
    <row r="2201" spans="1:5" x14ac:dyDescent="0.3">
      <c r="A2201" t="s">
        <v>4</v>
      </c>
      <c r="B2201" s="1" t="s">
        <v>13</v>
      </c>
      <c r="C2201" t="s">
        <v>11</v>
      </c>
      <c r="D2201" t="s">
        <v>9</v>
      </c>
      <c r="E2201" t="s">
        <v>25</v>
      </c>
    </row>
    <row r="2202" spans="1:5" x14ac:dyDescent="0.3">
      <c r="A2202" t="s">
        <v>4</v>
      </c>
      <c r="B2202" s="1" t="s">
        <v>13</v>
      </c>
      <c r="C2202" t="s">
        <v>12</v>
      </c>
      <c r="D2202" t="s">
        <v>5</v>
      </c>
      <c r="E2202" t="s">
        <v>25</v>
      </c>
    </row>
    <row r="2203" spans="1:5" x14ac:dyDescent="0.3">
      <c r="A2203" t="s">
        <v>4</v>
      </c>
      <c r="B2203" s="1" t="s">
        <v>13</v>
      </c>
      <c r="C2203" t="s">
        <v>12</v>
      </c>
      <c r="D2203" t="s">
        <v>6</v>
      </c>
      <c r="E2203" t="s">
        <v>25</v>
      </c>
    </row>
    <row r="2204" spans="1:5" x14ac:dyDescent="0.3">
      <c r="A2204" t="s">
        <v>4</v>
      </c>
      <c r="B2204" s="1" t="s">
        <v>13</v>
      </c>
      <c r="C2204" t="s">
        <v>12</v>
      </c>
      <c r="D2204" t="s">
        <v>7</v>
      </c>
      <c r="E2204" t="s">
        <v>25</v>
      </c>
    </row>
    <row r="2205" spans="1:5" x14ac:dyDescent="0.3">
      <c r="A2205" t="s">
        <v>4</v>
      </c>
      <c r="B2205" s="1" t="s">
        <v>13</v>
      </c>
      <c r="C2205" t="s">
        <v>12</v>
      </c>
      <c r="D2205" t="s">
        <v>8</v>
      </c>
      <c r="E2205" t="s">
        <v>25</v>
      </c>
    </row>
    <row r="2206" spans="1:5" x14ac:dyDescent="0.3">
      <c r="A2206" t="s">
        <v>4</v>
      </c>
      <c r="B2206" s="1" t="s">
        <v>13</v>
      </c>
      <c r="C2206" t="s">
        <v>11</v>
      </c>
      <c r="D2206" t="s">
        <v>9</v>
      </c>
      <c r="E2206" t="s">
        <v>25</v>
      </c>
    </row>
    <row r="2207" spans="1:5" x14ac:dyDescent="0.3">
      <c r="A2207" t="s">
        <v>4</v>
      </c>
      <c r="B2207" s="1" t="s">
        <v>13</v>
      </c>
      <c r="C2207" t="s">
        <v>12</v>
      </c>
      <c r="D2207" t="s">
        <v>5</v>
      </c>
      <c r="E2207" t="s">
        <v>25</v>
      </c>
    </row>
    <row r="2208" spans="1:5" x14ac:dyDescent="0.3">
      <c r="A2208" t="s">
        <v>4</v>
      </c>
      <c r="B2208" s="1" t="s">
        <v>13</v>
      </c>
      <c r="C2208" t="s">
        <v>12</v>
      </c>
      <c r="D2208" t="s">
        <v>6</v>
      </c>
      <c r="E2208" t="s">
        <v>25</v>
      </c>
    </row>
    <row r="2209" spans="1:5" x14ac:dyDescent="0.3">
      <c r="A2209" t="s">
        <v>4</v>
      </c>
      <c r="B2209" s="1" t="s">
        <v>13</v>
      </c>
      <c r="C2209" t="s">
        <v>11</v>
      </c>
      <c r="D2209" t="s">
        <v>7</v>
      </c>
      <c r="E2209" t="s">
        <v>25</v>
      </c>
    </row>
    <row r="2210" spans="1:5" x14ac:dyDescent="0.3">
      <c r="A2210" t="s">
        <v>4</v>
      </c>
      <c r="B2210" s="1" t="s">
        <v>13</v>
      </c>
      <c r="C2210" t="s">
        <v>12</v>
      </c>
      <c r="D2210" t="s">
        <v>8</v>
      </c>
      <c r="E2210" t="s">
        <v>25</v>
      </c>
    </row>
    <row r="2211" spans="1:5" x14ac:dyDescent="0.3">
      <c r="A2211" t="s">
        <v>4</v>
      </c>
      <c r="B2211" s="1" t="s">
        <v>13</v>
      </c>
      <c r="C2211" t="s">
        <v>11</v>
      </c>
      <c r="D2211" t="s">
        <v>9</v>
      </c>
      <c r="E2211" t="s">
        <v>25</v>
      </c>
    </row>
    <row r="2212" spans="1:5" x14ac:dyDescent="0.3">
      <c r="A2212" t="s">
        <v>4</v>
      </c>
      <c r="B2212" s="1" t="s">
        <v>13</v>
      </c>
      <c r="C2212" t="s">
        <v>12</v>
      </c>
      <c r="D2212" t="s">
        <v>5</v>
      </c>
      <c r="E2212" t="s">
        <v>25</v>
      </c>
    </row>
    <row r="2213" spans="1:5" x14ac:dyDescent="0.3">
      <c r="A2213" t="s">
        <v>4</v>
      </c>
      <c r="B2213" s="1" t="s">
        <v>13</v>
      </c>
      <c r="C2213" t="s">
        <v>12</v>
      </c>
      <c r="D2213" t="s">
        <v>6</v>
      </c>
      <c r="E2213" t="s">
        <v>25</v>
      </c>
    </row>
    <row r="2214" spans="1:5" x14ac:dyDescent="0.3">
      <c r="A2214" t="s">
        <v>4</v>
      </c>
      <c r="B2214" s="1" t="s">
        <v>13</v>
      </c>
      <c r="C2214" t="s">
        <v>12</v>
      </c>
      <c r="D2214" t="s">
        <v>7</v>
      </c>
      <c r="E2214" t="s">
        <v>25</v>
      </c>
    </row>
    <row r="2215" spans="1:5" x14ac:dyDescent="0.3">
      <c r="A2215" t="s">
        <v>4</v>
      </c>
      <c r="B2215" s="1" t="s">
        <v>13</v>
      </c>
      <c r="C2215" t="s">
        <v>12</v>
      </c>
      <c r="D2215" t="s">
        <v>8</v>
      </c>
      <c r="E2215" t="s">
        <v>25</v>
      </c>
    </row>
    <row r="2216" spans="1:5" x14ac:dyDescent="0.3">
      <c r="A2216" t="s">
        <v>4</v>
      </c>
      <c r="B2216" s="1" t="s">
        <v>13</v>
      </c>
      <c r="C2216" t="s">
        <v>11</v>
      </c>
      <c r="D2216" t="s">
        <v>9</v>
      </c>
      <c r="E2216" t="s">
        <v>25</v>
      </c>
    </row>
    <row r="2217" spans="1:5" x14ac:dyDescent="0.3">
      <c r="A2217" t="s">
        <v>4</v>
      </c>
      <c r="B2217" s="1" t="s">
        <v>13</v>
      </c>
      <c r="C2217" t="s">
        <v>12</v>
      </c>
      <c r="D2217" t="s">
        <v>5</v>
      </c>
      <c r="E2217" t="s">
        <v>25</v>
      </c>
    </row>
    <row r="2218" spans="1:5" x14ac:dyDescent="0.3">
      <c r="A2218" t="s">
        <v>4</v>
      </c>
      <c r="B2218" s="1" t="s">
        <v>13</v>
      </c>
      <c r="C2218" t="s">
        <v>12</v>
      </c>
      <c r="D2218" t="s">
        <v>6</v>
      </c>
      <c r="E2218" t="s">
        <v>25</v>
      </c>
    </row>
    <row r="2219" spans="1:5" x14ac:dyDescent="0.3">
      <c r="A2219" t="s">
        <v>4</v>
      </c>
      <c r="B2219" s="1" t="s">
        <v>13</v>
      </c>
      <c r="C2219" t="s">
        <v>12</v>
      </c>
      <c r="D2219" t="s">
        <v>7</v>
      </c>
      <c r="E2219" t="s">
        <v>25</v>
      </c>
    </row>
    <row r="2220" spans="1:5" x14ac:dyDescent="0.3">
      <c r="A2220" t="s">
        <v>4</v>
      </c>
      <c r="B2220" s="1" t="s">
        <v>13</v>
      </c>
      <c r="C2220" t="s">
        <v>12</v>
      </c>
      <c r="D2220" t="s">
        <v>8</v>
      </c>
      <c r="E2220" t="s">
        <v>25</v>
      </c>
    </row>
    <row r="2221" spans="1:5" x14ac:dyDescent="0.3">
      <c r="A2221" t="s">
        <v>4</v>
      </c>
      <c r="B2221" s="1" t="s">
        <v>13</v>
      </c>
      <c r="C2221" t="s">
        <v>11</v>
      </c>
      <c r="D2221" t="s">
        <v>9</v>
      </c>
      <c r="E2221" t="s">
        <v>25</v>
      </c>
    </row>
    <row r="2222" spans="1:5" x14ac:dyDescent="0.3">
      <c r="A2222" t="s">
        <v>4</v>
      </c>
      <c r="B2222" s="1" t="s">
        <v>13</v>
      </c>
      <c r="C2222" t="s">
        <v>12</v>
      </c>
      <c r="D2222" t="s">
        <v>5</v>
      </c>
      <c r="E2222" t="s">
        <v>25</v>
      </c>
    </row>
    <row r="2223" spans="1:5" x14ac:dyDescent="0.3">
      <c r="A2223" t="s">
        <v>4</v>
      </c>
      <c r="B2223" s="1" t="s">
        <v>13</v>
      </c>
      <c r="C2223" t="s">
        <v>12</v>
      </c>
      <c r="D2223" t="s">
        <v>6</v>
      </c>
      <c r="E2223" t="s">
        <v>25</v>
      </c>
    </row>
    <row r="2224" spans="1:5" x14ac:dyDescent="0.3">
      <c r="A2224" t="s">
        <v>4</v>
      </c>
      <c r="B2224" s="1" t="s">
        <v>13</v>
      </c>
      <c r="C2224" t="s">
        <v>12</v>
      </c>
      <c r="D2224" t="s">
        <v>7</v>
      </c>
      <c r="E2224" t="s">
        <v>25</v>
      </c>
    </row>
    <row r="2225" spans="1:5" x14ac:dyDescent="0.3">
      <c r="A2225" t="s">
        <v>4</v>
      </c>
      <c r="B2225" s="1" t="s">
        <v>13</v>
      </c>
      <c r="C2225" t="s">
        <v>12</v>
      </c>
      <c r="D2225" t="s">
        <v>8</v>
      </c>
      <c r="E2225" t="s">
        <v>25</v>
      </c>
    </row>
    <row r="2226" spans="1:5" x14ac:dyDescent="0.3">
      <c r="A2226" t="s">
        <v>4</v>
      </c>
      <c r="B2226" s="1" t="s">
        <v>13</v>
      </c>
      <c r="C2226" t="s">
        <v>11</v>
      </c>
      <c r="D2226" t="s">
        <v>9</v>
      </c>
      <c r="E2226" t="s">
        <v>25</v>
      </c>
    </row>
    <row r="2227" spans="1:5" x14ac:dyDescent="0.3">
      <c r="A2227" t="s">
        <v>4</v>
      </c>
      <c r="B2227" s="1" t="s">
        <v>13</v>
      </c>
      <c r="C2227" t="s">
        <v>12</v>
      </c>
      <c r="D2227" t="s">
        <v>5</v>
      </c>
      <c r="E2227" t="s">
        <v>25</v>
      </c>
    </row>
    <row r="2228" spans="1:5" x14ac:dyDescent="0.3">
      <c r="A2228" t="s">
        <v>4</v>
      </c>
      <c r="B2228" s="1" t="s">
        <v>13</v>
      </c>
      <c r="C2228" t="s">
        <v>12</v>
      </c>
      <c r="D2228" t="s">
        <v>6</v>
      </c>
      <c r="E2228" t="s">
        <v>25</v>
      </c>
    </row>
    <row r="2229" spans="1:5" x14ac:dyDescent="0.3">
      <c r="A2229" t="s">
        <v>4</v>
      </c>
      <c r="B2229" s="1" t="s">
        <v>13</v>
      </c>
      <c r="C2229" t="s">
        <v>12</v>
      </c>
      <c r="D2229" t="s">
        <v>7</v>
      </c>
      <c r="E2229" t="s">
        <v>25</v>
      </c>
    </row>
    <row r="2230" spans="1:5" x14ac:dyDescent="0.3">
      <c r="A2230" t="s">
        <v>4</v>
      </c>
      <c r="B2230" s="1" t="s">
        <v>13</v>
      </c>
      <c r="C2230" t="s">
        <v>12</v>
      </c>
      <c r="D2230" t="s">
        <v>8</v>
      </c>
      <c r="E2230" t="s">
        <v>25</v>
      </c>
    </row>
    <row r="2231" spans="1:5" x14ac:dyDescent="0.3">
      <c r="A2231" t="s">
        <v>4</v>
      </c>
      <c r="B2231" s="1" t="s">
        <v>13</v>
      </c>
      <c r="C2231" t="s">
        <v>11</v>
      </c>
      <c r="D2231" t="s">
        <v>9</v>
      </c>
      <c r="E2231" t="s">
        <v>25</v>
      </c>
    </row>
    <row r="2232" spans="1:5" x14ac:dyDescent="0.3">
      <c r="A2232" t="s">
        <v>4</v>
      </c>
      <c r="B2232" s="1" t="s">
        <v>13</v>
      </c>
      <c r="C2232" t="s">
        <v>12</v>
      </c>
      <c r="D2232" t="s">
        <v>5</v>
      </c>
      <c r="E2232" t="s">
        <v>25</v>
      </c>
    </row>
    <row r="2233" spans="1:5" x14ac:dyDescent="0.3">
      <c r="A2233" t="s">
        <v>4</v>
      </c>
      <c r="B2233" s="1" t="s">
        <v>13</v>
      </c>
      <c r="C2233" t="s">
        <v>12</v>
      </c>
      <c r="D2233" t="s">
        <v>6</v>
      </c>
      <c r="E2233" t="s">
        <v>25</v>
      </c>
    </row>
    <row r="2234" spans="1:5" x14ac:dyDescent="0.3">
      <c r="A2234" t="s">
        <v>4</v>
      </c>
      <c r="B2234" s="1" t="s">
        <v>13</v>
      </c>
      <c r="C2234" t="s">
        <v>12</v>
      </c>
      <c r="D2234" t="s">
        <v>7</v>
      </c>
      <c r="E2234" t="s">
        <v>25</v>
      </c>
    </row>
    <row r="2235" spans="1:5" x14ac:dyDescent="0.3">
      <c r="A2235" t="s">
        <v>4</v>
      </c>
      <c r="B2235" s="1" t="s">
        <v>13</v>
      </c>
      <c r="C2235" t="s">
        <v>12</v>
      </c>
      <c r="D2235" t="s">
        <v>8</v>
      </c>
      <c r="E2235" t="s">
        <v>25</v>
      </c>
    </row>
    <row r="2236" spans="1:5" x14ac:dyDescent="0.3">
      <c r="A2236" t="s">
        <v>4</v>
      </c>
      <c r="B2236" s="1" t="s">
        <v>13</v>
      </c>
      <c r="C2236" t="s">
        <v>11</v>
      </c>
      <c r="D2236" t="s">
        <v>9</v>
      </c>
      <c r="E2236" t="s">
        <v>25</v>
      </c>
    </row>
    <row r="2237" spans="1:5" x14ac:dyDescent="0.3">
      <c r="A2237" t="s">
        <v>4</v>
      </c>
      <c r="B2237" s="1" t="s">
        <v>13</v>
      </c>
      <c r="C2237" t="s">
        <v>12</v>
      </c>
      <c r="D2237" t="s">
        <v>5</v>
      </c>
      <c r="E2237" t="s">
        <v>25</v>
      </c>
    </row>
    <row r="2238" spans="1:5" x14ac:dyDescent="0.3">
      <c r="A2238" t="s">
        <v>4</v>
      </c>
      <c r="B2238" s="1" t="s">
        <v>13</v>
      </c>
      <c r="C2238" t="s">
        <v>12</v>
      </c>
      <c r="D2238" t="s">
        <v>6</v>
      </c>
      <c r="E2238" t="s">
        <v>25</v>
      </c>
    </row>
    <row r="2239" spans="1:5" x14ac:dyDescent="0.3">
      <c r="A2239" t="s">
        <v>4</v>
      </c>
      <c r="B2239" s="1" t="s">
        <v>13</v>
      </c>
      <c r="C2239" t="s">
        <v>12</v>
      </c>
      <c r="D2239" t="s">
        <v>7</v>
      </c>
      <c r="E2239" t="s">
        <v>25</v>
      </c>
    </row>
    <row r="2240" spans="1:5" x14ac:dyDescent="0.3">
      <c r="A2240" t="s">
        <v>4</v>
      </c>
      <c r="B2240" s="1" t="s">
        <v>13</v>
      </c>
      <c r="C2240" t="s">
        <v>12</v>
      </c>
      <c r="D2240" t="s">
        <v>8</v>
      </c>
      <c r="E2240" t="s">
        <v>25</v>
      </c>
    </row>
    <row r="2241" spans="1:5" x14ac:dyDescent="0.3">
      <c r="A2241" t="s">
        <v>4</v>
      </c>
      <c r="B2241" s="1" t="s">
        <v>13</v>
      </c>
      <c r="C2241" t="s">
        <v>11</v>
      </c>
      <c r="D2241" t="s">
        <v>9</v>
      </c>
      <c r="E2241" t="s">
        <v>25</v>
      </c>
    </row>
    <row r="2242" spans="1:5" x14ac:dyDescent="0.3">
      <c r="A2242" t="s">
        <v>4</v>
      </c>
      <c r="B2242" s="1" t="s">
        <v>13</v>
      </c>
      <c r="C2242" t="s">
        <v>12</v>
      </c>
      <c r="D2242" t="s">
        <v>5</v>
      </c>
      <c r="E2242" t="s">
        <v>25</v>
      </c>
    </row>
    <row r="2243" spans="1:5" x14ac:dyDescent="0.3">
      <c r="A2243" t="s">
        <v>4</v>
      </c>
      <c r="B2243" s="1" t="s">
        <v>13</v>
      </c>
      <c r="C2243" t="s">
        <v>12</v>
      </c>
      <c r="D2243" t="s">
        <v>6</v>
      </c>
      <c r="E2243" t="s">
        <v>25</v>
      </c>
    </row>
    <row r="2244" spans="1:5" x14ac:dyDescent="0.3">
      <c r="A2244" t="s">
        <v>4</v>
      </c>
      <c r="B2244" s="1" t="s">
        <v>13</v>
      </c>
      <c r="C2244" t="s">
        <v>10</v>
      </c>
      <c r="D2244" t="s">
        <v>7</v>
      </c>
      <c r="E2244" t="s">
        <v>25</v>
      </c>
    </row>
    <row r="2245" spans="1:5" x14ac:dyDescent="0.3">
      <c r="A2245" t="s">
        <v>4</v>
      </c>
      <c r="B2245" s="1" t="s">
        <v>13</v>
      </c>
      <c r="C2245" t="s">
        <v>12</v>
      </c>
      <c r="D2245" t="s">
        <v>8</v>
      </c>
      <c r="E2245" t="s">
        <v>25</v>
      </c>
    </row>
    <row r="2246" spans="1:5" x14ac:dyDescent="0.3">
      <c r="A2246" t="s">
        <v>4</v>
      </c>
      <c r="B2246" s="1" t="s">
        <v>13</v>
      </c>
      <c r="C2246" t="s">
        <v>11</v>
      </c>
      <c r="D2246" t="s">
        <v>9</v>
      </c>
      <c r="E2246" t="s">
        <v>25</v>
      </c>
    </row>
    <row r="2247" spans="1:5" x14ac:dyDescent="0.3">
      <c r="A2247" t="s">
        <v>4</v>
      </c>
      <c r="B2247" s="1" t="s">
        <v>13</v>
      </c>
      <c r="C2247" t="s">
        <v>12</v>
      </c>
      <c r="D2247" t="s">
        <v>5</v>
      </c>
      <c r="E2247" t="s">
        <v>25</v>
      </c>
    </row>
    <row r="2248" spans="1:5" x14ac:dyDescent="0.3">
      <c r="A2248" t="s">
        <v>4</v>
      </c>
      <c r="B2248" s="1" t="s">
        <v>13</v>
      </c>
      <c r="C2248" t="s">
        <v>12</v>
      </c>
      <c r="D2248" t="s">
        <v>6</v>
      </c>
      <c r="E2248" t="s">
        <v>25</v>
      </c>
    </row>
    <row r="2249" spans="1:5" x14ac:dyDescent="0.3">
      <c r="A2249" t="s">
        <v>4</v>
      </c>
      <c r="B2249" s="1" t="s">
        <v>13</v>
      </c>
      <c r="C2249" t="s">
        <v>12</v>
      </c>
      <c r="D2249" t="s">
        <v>7</v>
      </c>
      <c r="E2249" t="s">
        <v>25</v>
      </c>
    </row>
    <row r="2250" spans="1:5" x14ac:dyDescent="0.3">
      <c r="A2250" t="s">
        <v>4</v>
      </c>
      <c r="B2250" s="1" t="s">
        <v>13</v>
      </c>
      <c r="C2250" t="s">
        <v>12</v>
      </c>
      <c r="D2250" t="s">
        <v>8</v>
      </c>
      <c r="E2250" t="s">
        <v>25</v>
      </c>
    </row>
    <row r="2251" spans="1:5" x14ac:dyDescent="0.3">
      <c r="A2251" t="s">
        <v>4</v>
      </c>
      <c r="B2251" s="1" t="s">
        <v>13</v>
      </c>
      <c r="C2251" t="s">
        <v>11</v>
      </c>
      <c r="D2251" t="s">
        <v>9</v>
      </c>
      <c r="E2251" t="s">
        <v>25</v>
      </c>
    </row>
    <row r="2252" spans="1:5" x14ac:dyDescent="0.3">
      <c r="A2252" t="s">
        <v>4</v>
      </c>
      <c r="B2252" s="1" t="s">
        <v>13</v>
      </c>
      <c r="C2252" t="s">
        <v>12</v>
      </c>
      <c r="D2252" t="s">
        <v>5</v>
      </c>
      <c r="E2252" t="s">
        <v>25</v>
      </c>
    </row>
    <row r="2253" spans="1:5" x14ac:dyDescent="0.3">
      <c r="A2253" t="s">
        <v>4</v>
      </c>
      <c r="B2253" s="1" t="s">
        <v>13</v>
      </c>
      <c r="C2253" t="s">
        <v>12</v>
      </c>
      <c r="D2253" t="s">
        <v>6</v>
      </c>
      <c r="E2253" t="s">
        <v>25</v>
      </c>
    </row>
    <row r="2254" spans="1:5" x14ac:dyDescent="0.3">
      <c r="A2254" t="s">
        <v>4</v>
      </c>
      <c r="B2254" s="1" t="s">
        <v>13</v>
      </c>
      <c r="C2254" t="s">
        <v>11</v>
      </c>
      <c r="D2254" t="s">
        <v>7</v>
      </c>
      <c r="E2254" t="s">
        <v>25</v>
      </c>
    </row>
    <row r="2255" spans="1:5" x14ac:dyDescent="0.3">
      <c r="A2255" t="s">
        <v>4</v>
      </c>
      <c r="B2255" s="1" t="s">
        <v>13</v>
      </c>
      <c r="C2255" t="s">
        <v>12</v>
      </c>
      <c r="D2255" t="s">
        <v>8</v>
      </c>
      <c r="E2255" t="s">
        <v>25</v>
      </c>
    </row>
    <row r="2256" spans="1:5" x14ac:dyDescent="0.3">
      <c r="A2256" t="s">
        <v>4</v>
      </c>
      <c r="B2256" s="1" t="s">
        <v>13</v>
      </c>
      <c r="C2256" t="s">
        <v>11</v>
      </c>
      <c r="D2256" t="s">
        <v>9</v>
      </c>
      <c r="E2256" t="s">
        <v>25</v>
      </c>
    </row>
    <row r="2257" spans="1:5" x14ac:dyDescent="0.3">
      <c r="A2257" t="s">
        <v>4</v>
      </c>
      <c r="B2257" s="1" t="s">
        <v>13</v>
      </c>
      <c r="C2257" t="s">
        <v>12</v>
      </c>
      <c r="D2257" t="s">
        <v>5</v>
      </c>
      <c r="E2257" t="s">
        <v>25</v>
      </c>
    </row>
    <row r="2258" spans="1:5" x14ac:dyDescent="0.3">
      <c r="A2258" t="s">
        <v>4</v>
      </c>
      <c r="B2258" s="1" t="s">
        <v>13</v>
      </c>
      <c r="C2258" t="s">
        <v>12</v>
      </c>
      <c r="D2258" t="s">
        <v>6</v>
      </c>
      <c r="E2258" t="s">
        <v>25</v>
      </c>
    </row>
    <row r="2259" spans="1:5" x14ac:dyDescent="0.3">
      <c r="A2259" t="s">
        <v>4</v>
      </c>
      <c r="B2259" s="1" t="s">
        <v>13</v>
      </c>
      <c r="C2259" t="s">
        <v>11</v>
      </c>
      <c r="D2259" t="s">
        <v>7</v>
      </c>
      <c r="E2259" t="s">
        <v>25</v>
      </c>
    </row>
    <row r="2260" spans="1:5" x14ac:dyDescent="0.3">
      <c r="A2260" t="s">
        <v>4</v>
      </c>
      <c r="B2260" s="1" t="s">
        <v>13</v>
      </c>
      <c r="C2260" t="s">
        <v>12</v>
      </c>
      <c r="D2260" t="s">
        <v>8</v>
      </c>
      <c r="E2260" t="s">
        <v>25</v>
      </c>
    </row>
    <row r="2261" spans="1:5" x14ac:dyDescent="0.3">
      <c r="A2261" t="s">
        <v>4</v>
      </c>
      <c r="B2261" s="1" t="s">
        <v>13</v>
      </c>
      <c r="C2261" t="s">
        <v>11</v>
      </c>
      <c r="D2261" t="s">
        <v>9</v>
      </c>
      <c r="E2261" t="s">
        <v>25</v>
      </c>
    </row>
    <row r="2262" spans="1:5" x14ac:dyDescent="0.3">
      <c r="A2262" t="s">
        <v>4</v>
      </c>
      <c r="B2262" s="1" t="s">
        <v>13</v>
      </c>
      <c r="C2262" t="s">
        <v>12</v>
      </c>
      <c r="D2262" t="s">
        <v>5</v>
      </c>
      <c r="E2262" t="s">
        <v>25</v>
      </c>
    </row>
    <row r="2263" spans="1:5" x14ac:dyDescent="0.3">
      <c r="A2263" t="s">
        <v>4</v>
      </c>
      <c r="B2263" s="1" t="s">
        <v>13</v>
      </c>
      <c r="C2263" t="s">
        <v>12</v>
      </c>
      <c r="D2263" t="s">
        <v>6</v>
      </c>
      <c r="E2263" t="s">
        <v>25</v>
      </c>
    </row>
    <row r="2264" spans="1:5" x14ac:dyDescent="0.3">
      <c r="A2264" t="s">
        <v>4</v>
      </c>
      <c r="B2264" s="1" t="s">
        <v>13</v>
      </c>
      <c r="C2264" t="s">
        <v>11</v>
      </c>
      <c r="D2264" t="s">
        <v>7</v>
      </c>
      <c r="E2264" t="s">
        <v>25</v>
      </c>
    </row>
    <row r="2265" spans="1:5" x14ac:dyDescent="0.3">
      <c r="A2265" t="s">
        <v>4</v>
      </c>
      <c r="B2265" s="1" t="s">
        <v>13</v>
      </c>
      <c r="C2265" t="s">
        <v>12</v>
      </c>
      <c r="D2265" t="s">
        <v>8</v>
      </c>
      <c r="E2265" t="s">
        <v>25</v>
      </c>
    </row>
    <row r="2266" spans="1:5" x14ac:dyDescent="0.3">
      <c r="A2266" t="s">
        <v>4</v>
      </c>
      <c r="B2266" s="1" t="s">
        <v>13</v>
      </c>
      <c r="C2266" t="s">
        <v>11</v>
      </c>
      <c r="D2266" t="s">
        <v>9</v>
      </c>
      <c r="E2266" t="s">
        <v>25</v>
      </c>
    </row>
    <row r="2267" spans="1:5" x14ac:dyDescent="0.3">
      <c r="A2267" t="s">
        <v>4</v>
      </c>
      <c r="B2267" s="1" t="s">
        <v>13</v>
      </c>
      <c r="C2267" t="s">
        <v>12</v>
      </c>
      <c r="D2267" t="s">
        <v>5</v>
      </c>
      <c r="E2267" t="s">
        <v>25</v>
      </c>
    </row>
    <row r="2268" spans="1:5" x14ac:dyDescent="0.3">
      <c r="A2268" t="s">
        <v>4</v>
      </c>
      <c r="B2268" s="1" t="s">
        <v>13</v>
      </c>
      <c r="C2268" t="s">
        <v>12</v>
      </c>
      <c r="D2268" t="s">
        <v>6</v>
      </c>
      <c r="E2268" t="s">
        <v>25</v>
      </c>
    </row>
    <row r="2269" spans="1:5" x14ac:dyDescent="0.3">
      <c r="A2269" t="s">
        <v>4</v>
      </c>
      <c r="B2269" s="1" t="s">
        <v>13</v>
      </c>
      <c r="C2269" t="s">
        <v>11</v>
      </c>
      <c r="D2269" t="s">
        <v>7</v>
      </c>
      <c r="E2269" t="s">
        <v>25</v>
      </c>
    </row>
    <row r="2270" spans="1:5" x14ac:dyDescent="0.3">
      <c r="A2270" t="s">
        <v>4</v>
      </c>
      <c r="B2270" s="1" t="s">
        <v>13</v>
      </c>
      <c r="C2270" t="s">
        <v>12</v>
      </c>
      <c r="D2270" t="s">
        <v>8</v>
      </c>
      <c r="E2270" t="s">
        <v>25</v>
      </c>
    </row>
    <row r="2271" spans="1:5" x14ac:dyDescent="0.3">
      <c r="A2271" t="s">
        <v>4</v>
      </c>
      <c r="B2271" s="1" t="s">
        <v>13</v>
      </c>
      <c r="C2271" t="s">
        <v>11</v>
      </c>
      <c r="D2271" t="s">
        <v>9</v>
      </c>
      <c r="E2271" t="s">
        <v>25</v>
      </c>
    </row>
    <row r="2272" spans="1:5" x14ac:dyDescent="0.3">
      <c r="A2272" t="s">
        <v>4</v>
      </c>
      <c r="B2272" s="1" t="s">
        <v>13</v>
      </c>
      <c r="C2272" t="s">
        <v>12</v>
      </c>
      <c r="D2272" t="s">
        <v>5</v>
      </c>
      <c r="E2272" t="s">
        <v>25</v>
      </c>
    </row>
    <row r="2273" spans="1:5" x14ac:dyDescent="0.3">
      <c r="A2273" t="s">
        <v>4</v>
      </c>
      <c r="B2273" s="1" t="s">
        <v>13</v>
      </c>
      <c r="C2273" t="s">
        <v>12</v>
      </c>
      <c r="D2273" t="s">
        <v>6</v>
      </c>
      <c r="E2273" t="s">
        <v>25</v>
      </c>
    </row>
    <row r="2274" spans="1:5" x14ac:dyDescent="0.3">
      <c r="A2274" t="s">
        <v>4</v>
      </c>
      <c r="B2274" s="1" t="s">
        <v>13</v>
      </c>
      <c r="C2274" t="s">
        <v>12</v>
      </c>
      <c r="D2274" t="s">
        <v>7</v>
      </c>
      <c r="E2274" t="s">
        <v>25</v>
      </c>
    </row>
    <row r="2275" spans="1:5" x14ac:dyDescent="0.3">
      <c r="A2275" t="s">
        <v>4</v>
      </c>
      <c r="B2275" s="1" t="s">
        <v>13</v>
      </c>
      <c r="C2275" t="s">
        <v>12</v>
      </c>
      <c r="D2275" t="s">
        <v>8</v>
      </c>
      <c r="E2275" t="s">
        <v>25</v>
      </c>
    </row>
    <row r="2276" spans="1:5" x14ac:dyDescent="0.3">
      <c r="A2276" t="s">
        <v>4</v>
      </c>
      <c r="B2276" s="1" t="s">
        <v>13</v>
      </c>
      <c r="C2276" t="s">
        <v>11</v>
      </c>
      <c r="D2276" t="s">
        <v>9</v>
      </c>
      <c r="E2276" t="s">
        <v>25</v>
      </c>
    </row>
    <row r="2277" spans="1:5" x14ac:dyDescent="0.3">
      <c r="A2277" t="s">
        <v>4</v>
      </c>
      <c r="B2277" s="1" t="s">
        <v>13</v>
      </c>
      <c r="C2277" t="s">
        <v>12</v>
      </c>
      <c r="D2277" t="s">
        <v>5</v>
      </c>
      <c r="E2277" t="s">
        <v>25</v>
      </c>
    </row>
    <row r="2278" spans="1:5" x14ac:dyDescent="0.3">
      <c r="A2278" t="s">
        <v>4</v>
      </c>
      <c r="B2278" s="1" t="s">
        <v>13</v>
      </c>
      <c r="C2278" t="s">
        <v>12</v>
      </c>
      <c r="D2278" t="s">
        <v>6</v>
      </c>
      <c r="E2278" t="s">
        <v>25</v>
      </c>
    </row>
    <row r="2279" spans="1:5" x14ac:dyDescent="0.3">
      <c r="A2279" t="s">
        <v>4</v>
      </c>
      <c r="B2279" s="1" t="s">
        <v>13</v>
      </c>
      <c r="C2279" t="s">
        <v>12</v>
      </c>
      <c r="D2279" t="s">
        <v>7</v>
      </c>
      <c r="E2279" t="s">
        <v>25</v>
      </c>
    </row>
    <row r="2280" spans="1:5" x14ac:dyDescent="0.3">
      <c r="A2280" t="s">
        <v>4</v>
      </c>
      <c r="B2280" s="1" t="s">
        <v>13</v>
      </c>
      <c r="C2280" t="s">
        <v>12</v>
      </c>
      <c r="D2280" t="s">
        <v>8</v>
      </c>
      <c r="E2280" t="s">
        <v>25</v>
      </c>
    </row>
    <row r="2281" spans="1:5" x14ac:dyDescent="0.3">
      <c r="A2281" t="s">
        <v>4</v>
      </c>
      <c r="B2281" s="1" t="s">
        <v>13</v>
      </c>
      <c r="C2281" t="s">
        <v>11</v>
      </c>
      <c r="D2281" t="s">
        <v>9</v>
      </c>
      <c r="E2281" t="s">
        <v>25</v>
      </c>
    </row>
    <row r="2282" spans="1:5" x14ac:dyDescent="0.3">
      <c r="A2282" t="s">
        <v>4</v>
      </c>
      <c r="B2282" s="1" t="s">
        <v>13</v>
      </c>
      <c r="C2282" t="s">
        <v>12</v>
      </c>
      <c r="D2282" t="s">
        <v>5</v>
      </c>
      <c r="E2282" t="s">
        <v>25</v>
      </c>
    </row>
    <row r="2283" spans="1:5" x14ac:dyDescent="0.3">
      <c r="A2283" t="s">
        <v>4</v>
      </c>
      <c r="B2283" s="1" t="s">
        <v>13</v>
      </c>
      <c r="C2283" t="s">
        <v>12</v>
      </c>
      <c r="D2283" t="s">
        <v>6</v>
      </c>
      <c r="E2283" t="s">
        <v>25</v>
      </c>
    </row>
    <row r="2284" spans="1:5" x14ac:dyDescent="0.3">
      <c r="A2284" t="s">
        <v>4</v>
      </c>
      <c r="B2284" s="1" t="s">
        <v>13</v>
      </c>
      <c r="C2284" t="s">
        <v>11</v>
      </c>
      <c r="D2284" t="s">
        <v>7</v>
      </c>
      <c r="E2284" t="s">
        <v>25</v>
      </c>
    </row>
    <row r="2285" spans="1:5" x14ac:dyDescent="0.3">
      <c r="A2285" t="s">
        <v>4</v>
      </c>
      <c r="B2285" s="1" t="s">
        <v>13</v>
      </c>
      <c r="C2285" t="s">
        <v>12</v>
      </c>
      <c r="D2285" t="s">
        <v>8</v>
      </c>
      <c r="E2285" t="s">
        <v>25</v>
      </c>
    </row>
    <row r="2286" spans="1:5" x14ac:dyDescent="0.3">
      <c r="A2286" t="s">
        <v>4</v>
      </c>
      <c r="B2286" s="1" t="s">
        <v>13</v>
      </c>
      <c r="C2286" t="s">
        <v>11</v>
      </c>
      <c r="D2286" t="s">
        <v>9</v>
      </c>
      <c r="E2286" t="s">
        <v>25</v>
      </c>
    </row>
    <row r="2287" spans="1:5" x14ac:dyDescent="0.3">
      <c r="A2287" t="s">
        <v>4</v>
      </c>
      <c r="B2287" s="1" t="s">
        <v>13</v>
      </c>
      <c r="C2287" t="s">
        <v>12</v>
      </c>
      <c r="D2287" t="s">
        <v>5</v>
      </c>
      <c r="E2287" t="s">
        <v>25</v>
      </c>
    </row>
    <row r="2288" spans="1:5" x14ac:dyDescent="0.3">
      <c r="A2288" t="s">
        <v>4</v>
      </c>
      <c r="B2288" s="1" t="s">
        <v>13</v>
      </c>
      <c r="C2288" t="s">
        <v>12</v>
      </c>
      <c r="D2288" t="s">
        <v>6</v>
      </c>
      <c r="E2288" t="s">
        <v>25</v>
      </c>
    </row>
    <row r="2289" spans="1:5" x14ac:dyDescent="0.3">
      <c r="A2289" t="s">
        <v>4</v>
      </c>
      <c r="B2289" s="1" t="s">
        <v>13</v>
      </c>
      <c r="C2289" t="s">
        <v>12</v>
      </c>
      <c r="D2289" t="s">
        <v>7</v>
      </c>
      <c r="E2289" t="s">
        <v>25</v>
      </c>
    </row>
    <row r="2290" spans="1:5" x14ac:dyDescent="0.3">
      <c r="A2290" t="s">
        <v>4</v>
      </c>
      <c r="B2290" s="1" t="s">
        <v>13</v>
      </c>
      <c r="C2290" t="s">
        <v>12</v>
      </c>
      <c r="D2290" t="s">
        <v>8</v>
      </c>
      <c r="E2290" t="s">
        <v>25</v>
      </c>
    </row>
    <row r="2291" spans="1:5" x14ac:dyDescent="0.3">
      <c r="A2291" t="s">
        <v>4</v>
      </c>
      <c r="B2291" s="1" t="s">
        <v>13</v>
      </c>
      <c r="C2291" t="s">
        <v>11</v>
      </c>
      <c r="D2291" t="s">
        <v>9</v>
      </c>
      <c r="E2291" t="s">
        <v>25</v>
      </c>
    </row>
    <row r="2292" spans="1:5" x14ac:dyDescent="0.3">
      <c r="A2292" t="s">
        <v>4</v>
      </c>
      <c r="B2292" s="1" t="s">
        <v>13</v>
      </c>
      <c r="C2292" t="s">
        <v>12</v>
      </c>
      <c r="D2292" t="s">
        <v>5</v>
      </c>
      <c r="E2292" t="s">
        <v>25</v>
      </c>
    </row>
    <row r="2293" spans="1:5" x14ac:dyDescent="0.3">
      <c r="A2293" t="s">
        <v>4</v>
      </c>
      <c r="B2293" s="1" t="s">
        <v>13</v>
      </c>
      <c r="C2293" t="s">
        <v>12</v>
      </c>
      <c r="D2293" t="s">
        <v>6</v>
      </c>
      <c r="E2293" t="s">
        <v>25</v>
      </c>
    </row>
    <row r="2294" spans="1:5" x14ac:dyDescent="0.3">
      <c r="A2294" t="s">
        <v>4</v>
      </c>
      <c r="B2294" s="1" t="s">
        <v>13</v>
      </c>
      <c r="C2294" t="s">
        <v>11</v>
      </c>
      <c r="D2294" t="s">
        <v>7</v>
      </c>
      <c r="E2294" t="s">
        <v>25</v>
      </c>
    </row>
    <row r="2295" spans="1:5" x14ac:dyDescent="0.3">
      <c r="A2295" t="s">
        <v>4</v>
      </c>
      <c r="B2295" s="1" t="s">
        <v>13</v>
      </c>
      <c r="C2295" t="s">
        <v>12</v>
      </c>
      <c r="D2295" t="s">
        <v>8</v>
      </c>
      <c r="E2295" t="s">
        <v>25</v>
      </c>
    </row>
    <row r="2296" spans="1:5" x14ac:dyDescent="0.3">
      <c r="A2296" t="s">
        <v>4</v>
      </c>
      <c r="B2296" s="1" t="s">
        <v>13</v>
      </c>
      <c r="C2296" t="s">
        <v>11</v>
      </c>
      <c r="D2296" t="s">
        <v>9</v>
      </c>
      <c r="E2296" t="s">
        <v>25</v>
      </c>
    </row>
    <row r="2297" spans="1:5" x14ac:dyDescent="0.3">
      <c r="A2297" t="s">
        <v>4</v>
      </c>
      <c r="B2297" s="1" t="s">
        <v>13</v>
      </c>
      <c r="C2297" t="s">
        <v>12</v>
      </c>
      <c r="D2297" t="s">
        <v>5</v>
      </c>
      <c r="E2297" t="s">
        <v>25</v>
      </c>
    </row>
    <row r="2298" spans="1:5" x14ac:dyDescent="0.3">
      <c r="A2298" t="s">
        <v>4</v>
      </c>
      <c r="B2298" s="1" t="s">
        <v>13</v>
      </c>
      <c r="C2298" t="s">
        <v>12</v>
      </c>
      <c r="D2298" t="s">
        <v>6</v>
      </c>
      <c r="E2298" t="s">
        <v>25</v>
      </c>
    </row>
    <row r="2299" spans="1:5" x14ac:dyDescent="0.3">
      <c r="A2299" t="s">
        <v>4</v>
      </c>
      <c r="B2299" s="1" t="s">
        <v>13</v>
      </c>
      <c r="C2299" t="s">
        <v>11</v>
      </c>
      <c r="D2299" t="s">
        <v>7</v>
      </c>
      <c r="E2299" t="s">
        <v>25</v>
      </c>
    </row>
    <row r="2300" spans="1:5" x14ac:dyDescent="0.3">
      <c r="A2300" t="s">
        <v>4</v>
      </c>
      <c r="B2300" s="1" t="s">
        <v>13</v>
      </c>
      <c r="C2300" t="s">
        <v>12</v>
      </c>
      <c r="D2300" t="s">
        <v>8</v>
      </c>
      <c r="E2300" t="s">
        <v>25</v>
      </c>
    </row>
    <row r="2301" spans="1:5" x14ac:dyDescent="0.3">
      <c r="A2301" t="s">
        <v>4</v>
      </c>
      <c r="B2301" s="1" t="s">
        <v>13</v>
      </c>
      <c r="C2301" t="s">
        <v>11</v>
      </c>
      <c r="D2301" t="s">
        <v>9</v>
      </c>
      <c r="E2301" t="s">
        <v>25</v>
      </c>
    </row>
    <row r="2302" spans="1:5" x14ac:dyDescent="0.3">
      <c r="A2302" t="s">
        <v>4</v>
      </c>
      <c r="B2302" s="1" t="s">
        <v>13</v>
      </c>
      <c r="C2302" t="s">
        <v>12</v>
      </c>
      <c r="D2302" t="s">
        <v>5</v>
      </c>
      <c r="E2302" t="s">
        <v>25</v>
      </c>
    </row>
    <row r="2303" spans="1:5" x14ac:dyDescent="0.3">
      <c r="A2303" t="s">
        <v>4</v>
      </c>
      <c r="B2303" s="1" t="s">
        <v>13</v>
      </c>
      <c r="C2303" t="s">
        <v>12</v>
      </c>
      <c r="D2303" t="s">
        <v>6</v>
      </c>
      <c r="E2303" t="s">
        <v>25</v>
      </c>
    </row>
    <row r="2304" spans="1:5" x14ac:dyDescent="0.3">
      <c r="A2304" t="s">
        <v>4</v>
      </c>
      <c r="B2304" s="1" t="s">
        <v>13</v>
      </c>
      <c r="C2304" t="s">
        <v>11</v>
      </c>
      <c r="D2304" t="s">
        <v>7</v>
      </c>
      <c r="E2304" t="s">
        <v>25</v>
      </c>
    </row>
    <row r="2305" spans="1:5" x14ac:dyDescent="0.3">
      <c r="A2305" t="s">
        <v>4</v>
      </c>
      <c r="B2305" s="1" t="s">
        <v>13</v>
      </c>
      <c r="C2305" t="s">
        <v>12</v>
      </c>
      <c r="D2305" t="s">
        <v>8</v>
      </c>
      <c r="E2305" t="s">
        <v>25</v>
      </c>
    </row>
    <row r="2306" spans="1:5" x14ac:dyDescent="0.3">
      <c r="A2306" t="s">
        <v>4</v>
      </c>
      <c r="B2306" s="1" t="s">
        <v>13</v>
      </c>
      <c r="C2306" t="s">
        <v>11</v>
      </c>
      <c r="D2306" t="s">
        <v>9</v>
      </c>
      <c r="E2306" t="s">
        <v>25</v>
      </c>
    </row>
    <row r="2307" spans="1:5" x14ac:dyDescent="0.3">
      <c r="A2307" t="s">
        <v>4</v>
      </c>
      <c r="B2307" s="1" t="s">
        <v>13</v>
      </c>
      <c r="C2307" t="s">
        <v>12</v>
      </c>
      <c r="D2307" t="s">
        <v>5</v>
      </c>
      <c r="E2307" t="s">
        <v>25</v>
      </c>
    </row>
    <row r="2308" spans="1:5" x14ac:dyDescent="0.3">
      <c r="A2308" t="s">
        <v>4</v>
      </c>
      <c r="B2308" s="1" t="s">
        <v>13</v>
      </c>
      <c r="C2308" t="s">
        <v>12</v>
      </c>
      <c r="D2308" t="s">
        <v>6</v>
      </c>
      <c r="E2308" t="s">
        <v>25</v>
      </c>
    </row>
    <row r="2309" spans="1:5" x14ac:dyDescent="0.3">
      <c r="A2309" t="s">
        <v>4</v>
      </c>
      <c r="B2309" s="1" t="s">
        <v>13</v>
      </c>
      <c r="C2309" t="s">
        <v>11</v>
      </c>
      <c r="D2309" t="s">
        <v>7</v>
      </c>
      <c r="E2309" t="s">
        <v>25</v>
      </c>
    </row>
    <row r="2310" spans="1:5" x14ac:dyDescent="0.3">
      <c r="A2310" t="s">
        <v>4</v>
      </c>
      <c r="B2310" s="1" t="s">
        <v>13</v>
      </c>
      <c r="C2310" t="s">
        <v>12</v>
      </c>
      <c r="D2310" t="s">
        <v>8</v>
      </c>
      <c r="E2310" t="s">
        <v>25</v>
      </c>
    </row>
    <row r="2311" spans="1:5" x14ac:dyDescent="0.3">
      <c r="A2311" t="s">
        <v>4</v>
      </c>
      <c r="B2311" s="1" t="s">
        <v>13</v>
      </c>
      <c r="C2311" t="s">
        <v>11</v>
      </c>
      <c r="D2311" t="s">
        <v>9</v>
      </c>
      <c r="E2311" t="s">
        <v>25</v>
      </c>
    </row>
    <row r="2312" spans="1:5" x14ac:dyDescent="0.3">
      <c r="A2312" t="s">
        <v>4</v>
      </c>
      <c r="B2312" s="1" t="s">
        <v>13</v>
      </c>
      <c r="C2312" t="s">
        <v>12</v>
      </c>
      <c r="D2312" t="s">
        <v>5</v>
      </c>
      <c r="E2312" t="s">
        <v>25</v>
      </c>
    </row>
    <row r="2313" spans="1:5" x14ac:dyDescent="0.3">
      <c r="A2313" t="s">
        <v>4</v>
      </c>
      <c r="B2313" s="1" t="s">
        <v>13</v>
      </c>
      <c r="C2313" t="s">
        <v>12</v>
      </c>
      <c r="D2313" t="s">
        <v>6</v>
      </c>
      <c r="E2313" t="s">
        <v>25</v>
      </c>
    </row>
    <row r="2314" spans="1:5" x14ac:dyDescent="0.3">
      <c r="A2314" t="s">
        <v>4</v>
      </c>
      <c r="B2314" s="1" t="s">
        <v>13</v>
      </c>
      <c r="C2314" t="s">
        <v>11</v>
      </c>
      <c r="D2314" t="s">
        <v>7</v>
      </c>
      <c r="E2314" t="s">
        <v>25</v>
      </c>
    </row>
    <row r="2315" spans="1:5" x14ac:dyDescent="0.3">
      <c r="A2315" t="s">
        <v>4</v>
      </c>
      <c r="B2315" s="1" t="s">
        <v>13</v>
      </c>
      <c r="C2315" t="s">
        <v>11</v>
      </c>
      <c r="D2315" t="s">
        <v>8</v>
      </c>
      <c r="E2315" t="s">
        <v>25</v>
      </c>
    </row>
    <row r="2316" spans="1:5" x14ac:dyDescent="0.3">
      <c r="A2316" t="s">
        <v>4</v>
      </c>
      <c r="B2316" s="1" t="s">
        <v>13</v>
      </c>
      <c r="C2316" t="s">
        <v>11</v>
      </c>
      <c r="D2316" t="s">
        <v>9</v>
      </c>
      <c r="E2316" t="s">
        <v>25</v>
      </c>
    </row>
    <row r="2317" spans="1:5" x14ac:dyDescent="0.3">
      <c r="A2317" t="s">
        <v>4</v>
      </c>
      <c r="B2317" s="1" t="s">
        <v>13</v>
      </c>
      <c r="C2317" t="s">
        <v>12</v>
      </c>
      <c r="D2317" t="s">
        <v>5</v>
      </c>
      <c r="E2317" t="s">
        <v>25</v>
      </c>
    </row>
    <row r="2318" spans="1:5" x14ac:dyDescent="0.3">
      <c r="A2318" t="s">
        <v>4</v>
      </c>
      <c r="B2318" s="1" t="s">
        <v>13</v>
      </c>
      <c r="C2318" t="s">
        <v>12</v>
      </c>
      <c r="D2318" t="s">
        <v>6</v>
      </c>
      <c r="E2318" t="s">
        <v>25</v>
      </c>
    </row>
    <row r="2319" spans="1:5" x14ac:dyDescent="0.3">
      <c r="A2319" t="s">
        <v>4</v>
      </c>
      <c r="B2319" s="1" t="s">
        <v>13</v>
      </c>
      <c r="C2319" t="s">
        <v>10</v>
      </c>
      <c r="D2319" t="s">
        <v>7</v>
      </c>
      <c r="E2319" t="s">
        <v>25</v>
      </c>
    </row>
    <row r="2320" spans="1:5" x14ac:dyDescent="0.3">
      <c r="A2320" t="s">
        <v>4</v>
      </c>
      <c r="B2320" s="1" t="s">
        <v>13</v>
      </c>
      <c r="C2320" t="s">
        <v>12</v>
      </c>
      <c r="D2320" t="s">
        <v>8</v>
      </c>
      <c r="E2320" t="s">
        <v>25</v>
      </c>
    </row>
    <row r="2321" spans="1:5" x14ac:dyDescent="0.3">
      <c r="A2321" t="s">
        <v>4</v>
      </c>
      <c r="B2321" s="1" t="s">
        <v>13</v>
      </c>
      <c r="C2321" t="s">
        <v>11</v>
      </c>
      <c r="D2321" t="s">
        <v>9</v>
      </c>
      <c r="E2321" t="s">
        <v>25</v>
      </c>
    </row>
    <row r="2322" spans="1:5" x14ac:dyDescent="0.3">
      <c r="A2322" t="s">
        <v>4</v>
      </c>
      <c r="B2322" s="1" t="s">
        <v>13</v>
      </c>
      <c r="C2322" t="s">
        <v>12</v>
      </c>
      <c r="D2322" t="s">
        <v>5</v>
      </c>
      <c r="E2322" t="s">
        <v>25</v>
      </c>
    </row>
    <row r="2323" spans="1:5" x14ac:dyDescent="0.3">
      <c r="A2323" t="s">
        <v>4</v>
      </c>
      <c r="B2323" s="1" t="s">
        <v>13</v>
      </c>
      <c r="C2323" t="s">
        <v>12</v>
      </c>
      <c r="D2323" t="s">
        <v>6</v>
      </c>
      <c r="E2323" t="s">
        <v>25</v>
      </c>
    </row>
    <row r="2324" spans="1:5" x14ac:dyDescent="0.3">
      <c r="A2324" t="s">
        <v>4</v>
      </c>
      <c r="B2324" s="1" t="s">
        <v>13</v>
      </c>
      <c r="C2324" t="s">
        <v>11</v>
      </c>
      <c r="D2324" t="s">
        <v>7</v>
      </c>
      <c r="E2324" t="s">
        <v>25</v>
      </c>
    </row>
    <row r="2325" spans="1:5" x14ac:dyDescent="0.3">
      <c r="A2325" t="s">
        <v>4</v>
      </c>
      <c r="B2325" s="1" t="s">
        <v>13</v>
      </c>
      <c r="C2325" t="s">
        <v>12</v>
      </c>
      <c r="D2325" t="s">
        <v>8</v>
      </c>
      <c r="E2325" t="s">
        <v>25</v>
      </c>
    </row>
    <row r="2326" spans="1:5" x14ac:dyDescent="0.3">
      <c r="A2326" t="s">
        <v>4</v>
      </c>
      <c r="B2326" s="1" t="s">
        <v>13</v>
      </c>
      <c r="C2326" t="s">
        <v>11</v>
      </c>
      <c r="D2326" t="s">
        <v>9</v>
      </c>
      <c r="E2326" t="s">
        <v>25</v>
      </c>
    </row>
    <row r="2327" spans="1:5" x14ac:dyDescent="0.3">
      <c r="A2327" t="s">
        <v>4</v>
      </c>
      <c r="B2327" s="1" t="s">
        <v>13</v>
      </c>
      <c r="C2327" t="s">
        <v>12</v>
      </c>
      <c r="D2327" t="s">
        <v>5</v>
      </c>
      <c r="E2327" t="s">
        <v>25</v>
      </c>
    </row>
    <row r="2328" spans="1:5" x14ac:dyDescent="0.3">
      <c r="A2328" t="s">
        <v>4</v>
      </c>
      <c r="B2328" s="1" t="s">
        <v>13</v>
      </c>
      <c r="C2328" t="s">
        <v>12</v>
      </c>
      <c r="D2328" t="s">
        <v>6</v>
      </c>
      <c r="E2328" t="s">
        <v>25</v>
      </c>
    </row>
    <row r="2329" spans="1:5" x14ac:dyDescent="0.3">
      <c r="A2329" t="s">
        <v>4</v>
      </c>
      <c r="B2329" s="1" t="s">
        <v>13</v>
      </c>
      <c r="C2329" t="s">
        <v>10</v>
      </c>
      <c r="D2329" t="s">
        <v>7</v>
      </c>
      <c r="E2329" t="s">
        <v>25</v>
      </c>
    </row>
    <row r="2330" spans="1:5" x14ac:dyDescent="0.3">
      <c r="A2330" t="s">
        <v>4</v>
      </c>
      <c r="B2330" s="1" t="s">
        <v>13</v>
      </c>
      <c r="C2330" t="s">
        <v>12</v>
      </c>
      <c r="D2330" t="s">
        <v>8</v>
      </c>
      <c r="E2330" t="s">
        <v>25</v>
      </c>
    </row>
    <row r="2331" spans="1:5" x14ac:dyDescent="0.3">
      <c r="A2331" t="s">
        <v>4</v>
      </c>
      <c r="B2331" s="1" t="s">
        <v>13</v>
      </c>
      <c r="C2331" t="s">
        <v>11</v>
      </c>
      <c r="D2331" t="s">
        <v>9</v>
      </c>
      <c r="E2331" t="s">
        <v>25</v>
      </c>
    </row>
    <row r="2332" spans="1:5" x14ac:dyDescent="0.3">
      <c r="A2332" t="s">
        <v>4</v>
      </c>
      <c r="B2332" s="1" t="s">
        <v>13</v>
      </c>
      <c r="C2332" t="s">
        <v>12</v>
      </c>
      <c r="D2332" t="s">
        <v>5</v>
      </c>
      <c r="E2332" t="s">
        <v>25</v>
      </c>
    </row>
    <row r="2333" spans="1:5" x14ac:dyDescent="0.3">
      <c r="A2333" t="s">
        <v>4</v>
      </c>
      <c r="B2333" s="1" t="s">
        <v>13</v>
      </c>
      <c r="C2333" t="s">
        <v>12</v>
      </c>
      <c r="D2333" t="s">
        <v>6</v>
      </c>
      <c r="E2333" t="s">
        <v>25</v>
      </c>
    </row>
    <row r="2334" spans="1:5" x14ac:dyDescent="0.3">
      <c r="A2334" t="s">
        <v>4</v>
      </c>
      <c r="B2334" s="1" t="s">
        <v>13</v>
      </c>
      <c r="C2334" t="s">
        <v>12</v>
      </c>
      <c r="D2334" t="s">
        <v>7</v>
      </c>
      <c r="E2334" t="s">
        <v>25</v>
      </c>
    </row>
    <row r="2335" spans="1:5" x14ac:dyDescent="0.3">
      <c r="A2335" t="s">
        <v>4</v>
      </c>
      <c r="B2335" s="1" t="s">
        <v>13</v>
      </c>
      <c r="C2335" t="s">
        <v>12</v>
      </c>
      <c r="D2335" t="s">
        <v>8</v>
      </c>
      <c r="E2335" t="s">
        <v>25</v>
      </c>
    </row>
    <row r="2336" spans="1:5" x14ac:dyDescent="0.3">
      <c r="A2336" t="s">
        <v>4</v>
      </c>
      <c r="B2336" s="1" t="s">
        <v>13</v>
      </c>
      <c r="C2336" t="s">
        <v>11</v>
      </c>
      <c r="D2336" t="s">
        <v>9</v>
      </c>
      <c r="E2336" t="s">
        <v>25</v>
      </c>
    </row>
    <row r="2337" spans="1:5" x14ac:dyDescent="0.3">
      <c r="A2337" t="s">
        <v>4</v>
      </c>
      <c r="B2337" s="1" t="s">
        <v>13</v>
      </c>
      <c r="C2337" t="s">
        <v>12</v>
      </c>
      <c r="D2337" t="s">
        <v>5</v>
      </c>
      <c r="E2337" t="s">
        <v>25</v>
      </c>
    </row>
    <row r="2338" spans="1:5" x14ac:dyDescent="0.3">
      <c r="A2338" t="s">
        <v>4</v>
      </c>
      <c r="B2338" s="1" t="s">
        <v>13</v>
      </c>
      <c r="C2338" t="s">
        <v>12</v>
      </c>
      <c r="D2338" t="s">
        <v>6</v>
      </c>
      <c r="E2338" t="s">
        <v>25</v>
      </c>
    </row>
    <row r="2339" spans="1:5" x14ac:dyDescent="0.3">
      <c r="A2339" t="s">
        <v>4</v>
      </c>
      <c r="B2339" s="1" t="s">
        <v>13</v>
      </c>
      <c r="C2339" t="s">
        <v>12</v>
      </c>
      <c r="D2339" t="s">
        <v>7</v>
      </c>
      <c r="E2339" t="s">
        <v>25</v>
      </c>
    </row>
    <row r="2340" spans="1:5" x14ac:dyDescent="0.3">
      <c r="A2340" t="s">
        <v>4</v>
      </c>
      <c r="B2340" s="1" t="s">
        <v>13</v>
      </c>
      <c r="C2340" t="s">
        <v>12</v>
      </c>
      <c r="D2340" t="s">
        <v>8</v>
      </c>
      <c r="E2340" t="s">
        <v>25</v>
      </c>
    </row>
    <row r="2341" spans="1:5" x14ac:dyDescent="0.3">
      <c r="A2341" t="s">
        <v>4</v>
      </c>
      <c r="B2341" s="1" t="s">
        <v>13</v>
      </c>
      <c r="C2341" t="s">
        <v>11</v>
      </c>
      <c r="D2341" t="s">
        <v>9</v>
      </c>
      <c r="E2341" t="s">
        <v>25</v>
      </c>
    </row>
    <row r="2342" spans="1:5" x14ac:dyDescent="0.3">
      <c r="A2342" t="s">
        <v>4</v>
      </c>
      <c r="B2342" s="1" t="s">
        <v>13</v>
      </c>
      <c r="C2342" t="s">
        <v>12</v>
      </c>
      <c r="D2342" t="s">
        <v>5</v>
      </c>
      <c r="E2342" t="s">
        <v>25</v>
      </c>
    </row>
    <row r="2343" spans="1:5" x14ac:dyDescent="0.3">
      <c r="A2343" t="s">
        <v>4</v>
      </c>
      <c r="B2343" s="1" t="s">
        <v>13</v>
      </c>
      <c r="C2343" t="s">
        <v>12</v>
      </c>
      <c r="D2343" t="s">
        <v>6</v>
      </c>
      <c r="E2343" t="s">
        <v>25</v>
      </c>
    </row>
    <row r="2344" spans="1:5" x14ac:dyDescent="0.3">
      <c r="A2344" t="s">
        <v>4</v>
      </c>
      <c r="B2344" s="1" t="s">
        <v>13</v>
      </c>
      <c r="C2344" t="s">
        <v>12</v>
      </c>
      <c r="D2344" t="s">
        <v>7</v>
      </c>
      <c r="E2344" t="s">
        <v>25</v>
      </c>
    </row>
    <row r="2345" spans="1:5" x14ac:dyDescent="0.3">
      <c r="A2345" t="s">
        <v>4</v>
      </c>
      <c r="B2345" s="1" t="s">
        <v>13</v>
      </c>
      <c r="C2345" t="s">
        <v>12</v>
      </c>
      <c r="D2345" t="s">
        <v>8</v>
      </c>
      <c r="E2345" t="s">
        <v>25</v>
      </c>
    </row>
    <row r="2346" spans="1:5" x14ac:dyDescent="0.3">
      <c r="A2346" t="s">
        <v>4</v>
      </c>
      <c r="B2346" s="1" t="s">
        <v>13</v>
      </c>
      <c r="C2346" t="s">
        <v>11</v>
      </c>
      <c r="D2346" t="s">
        <v>9</v>
      </c>
      <c r="E2346" t="s">
        <v>25</v>
      </c>
    </row>
    <row r="2347" spans="1:5" x14ac:dyDescent="0.3">
      <c r="A2347" t="s">
        <v>4</v>
      </c>
      <c r="B2347" s="1" t="s">
        <v>13</v>
      </c>
      <c r="C2347" t="s">
        <v>12</v>
      </c>
      <c r="D2347" t="s">
        <v>5</v>
      </c>
      <c r="E2347" t="s">
        <v>25</v>
      </c>
    </row>
    <row r="2348" spans="1:5" x14ac:dyDescent="0.3">
      <c r="A2348" t="s">
        <v>4</v>
      </c>
      <c r="B2348" s="1" t="s">
        <v>13</v>
      </c>
      <c r="C2348" t="s">
        <v>12</v>
      </c>
      <c r="D2348" t="s">
        <v>6</v>
      </c>
      <c r="E2348" t="s">
        <v>25</v>
      </c>
    </row>
    <row r="2349" spans="1:5" x14ac:dyDescent="0.3">
      <c r="A2349" t="s">
        <v>4</v>
      </c>
      <c r="B2349" s="1" t="s">
        <v>13</v>
      </c>
      <c r="C2349" t="s">
        <v>10</v>
      </c>
      <c r="D2349" t="s">
        <v>7</v>
      </c>
      <c r="E2349" t="s">
        <v>25</v>
      </c>
    </row>
    <row r="2350" spans="1:5" x14ac:dyDescent="0.3">
      <c r="A2350" t="s">
        <v>4</v>
      </c>
      <c r="B2350" s="1" t="s">
        <v>13</v>
      </c>
      <c r="C2350" t="s">
        <v>12</v>
      </c>
      <c r="D2350" t="s">
        <v>8</v>
      </c>
      <c r="E2350" t="s">
        <v>25</v>
      </c>
    </row>
    <row r="2351" spans="1:5" x14ac:dyDescent="0.3">
      <c r="A2351" t="s">
        <v>4</v>
      </c>
      <c r="B2351" s="1" t="s">
        <v>13</v>
      </c>
      <c r="C2351" t="s">
        <v>11</v>
      </c>
      <c r="D2351" t="s">
        <v>9</v>
      </c>
      <c r="E2351" t="s">
        <v>25</v>
      </c>
    </row>
    <row r="2352" spans="1:5" x14ac:dyDescent="0.3">
      <c r="A2352" t="s">
        <v>4</v>
      </c>
      <c r="B2352" s="1" t="s">
        <v>13</v>
      </c>
      <c r="C2352" t="s">
        <v>12</v>
      </c>
      <c r="D2352" t="s">
        <v>5</v>
      </c>
      <c r="E2352" t="s">
        <v>25</v>
      </c>
    </row>
    <row r="2353" spans="1:5" x14ac:dyDescent="0.3">
      <c r="A2353" t="s">
        <v>4</v>
      </c>
      <c r="B2353" s="1" t="s">
        <v>13</v>
      </c>
      <c r="C2353" t="s">
        <v>12</v>
      </c>
      <c r="D2353" t="s">
        <v>6</v>
      </c>
      <c r="E2353" t="s">
        <v>25</v>
      </c>
    </row>
    <row r="2354" spans="1:5" x14ac:dyDescent="0.3">
      <c r="A2354" t="s">
        <v>4</v>
      </c>
      <c r="B2354" s="1" t="s">
        <v>13</v>
      </c>
      <c r="C2354" t="s">
        <v>11</v>
      </c>
      <c r="D2354" t="s">
        <v>7</v>
      </c>
      <c r="E2354" t="s">
        <v>25</v>
      </c>
    </row>
    <row r="2355" spans="1:5" x14ac:dyDescent="0.3">
      <c r="A2355" t="s">
        <v>4</v>
      </c>
      <c r="B2355" s="1" t="s">
        <v>13</v>
      </c>
      <c r="C2355" t="s">
        <v>12</v>
      </c>
      <c r="D2355" t="s">
        <v>8</v>
      </c>
      <c r="E2355" t="s">
        <v>25</v>
      </c>
    </row>
    <row r="2356" spans="1:5" x14ac:dyDescent="0.3">
      <c r="A2356" t="s">
        <v>4</v>
      </c>
      <c r="B2356" s="1" t="s">
        <v>13</v>
      </c>
      <c r="C2356" t="s">
        <v>11</v>
      </c>
      <c r="D2356" t="s">
        <v>9</v>
      </c>
      <c r="E2356" t="s">
        <v>25</v>
      </c>
    </row>
    <row r="2357" spans="1:5" x14ac:dyDescent="0.3">
      <c r="A2357" t="s">
        <v>4</v>
      </c>
      <c r="B2357" s="1" t="s">
        <v>13</v>
      </c>
      <c r="C2357" t="s">
        <v>12</v>
      </c>
      <c r="D2357" t="s">
        <v>5</v>
      </c>
      <c r="E2357" t="s">
        <v>25</v>
      </c>
    </row>
    <row r="2358" spans="1:5" x14ac:dyDescent="0.3">
      <c r="A2358" t="s">
        <v>4</v>
      </c>
      <c r="B2358" s="1" t="s">
        <v>13</v>
      </c>
      <c r="C2358" t="s">
        <v>12</v>
      </c>
      <c r="D2358" t="s">
        <v>6</v>
      </c>
      <c r="E2358" t="s">
        <v>25</v>
      </c>
    </row>
    <row r="2359" spans="1:5" x14ac:dyDescent="0.3">
      <c r="A2359" t="s">
        <v>4</v>
      </c>
      <c r="B2359" s="1" t="s">
        <v>13</v>
      </c>
      <c r="C2359" t="s">
        <v>12</v>
      </c>
      <c r="D2359" t="s">
        <v>7</v>
      </c>
      <c r="E2359" t="s">
        <v>25</v>
      </c>
    </row>
    <row r="2360" spans="1:5" x14ac:dyDescent="0.3">
      <c r="A2360" t="s">
        <v>4</v>
      </c>
      <c r="B2360" s="1" t="s">
        <v>13</v>
      </c>
      <c r="C2360" t="s">
        <v>12</v>
      </c>
      <c r="D2360" t="s">
        <v>8</v>
      </c>
      <c r="E2360" t="s">
        <v>25</v>
      </c>
    </row>
    <row r="2361" spans="1:5" x14ac:dyDescent="0.3">
      <c r="A2361" t="s">
        <v>4</v>
      </c>
      <c r="B2361" s="1" t="s">
        <v>13</v>
      </c>
      <c r="C2361" t="s">
        <v>11</v>
      </c>
      <c r="D2361" t="s">
        <v>9</v>
      </c>
      <c r="E2361" t="s">
        <v>25</v>
      </c>
    </row>
    <row r="2362" spans="1:5" x14ac:dyDescent="0.3">
      <c r="A2362" t="s">
        <v>4</v>
      </c>
      <c r="B2362" s="1" t="s">
        <v>13</v>
      </c>
      <c r="C2362" t="s">
        <v>12</v>
      </c>
      <c r="D2362" t="s">
        <v>5</v>
      </c>
      <c r="E2362" t="s">
        <v>25</v>
      </c>
    </row>
    <row r="2363" spans="1:5" x14ac:dyDescent="0.3">
      <c r="A2363" t="s">
        <v>4</v>
      </c>
      <c r="B2363" s="1" t="s">
        <v>13</v>
      </c>
      <c r="C2363" t="s">
        <v>12</v>
      </c>
      <c r="D2363" t="s">
        <v>6</v>
      </c>
      <c r="E2363" t="s">
        <v>25</v>
      </c>
    </row>
    <row r="2364" spans="1:5" x14ac:dyDescent="0.3">
      <c r="A2364" t="s">
        <v>4</v>
      </c>
      <c r="B2364" s="1" t="s">
        <v>13</v>
      </c>
      <c r="C2364" t="s">
        <v>12</v>
      </c>
      <c r="D2364" t="s">
        <v>7</v>
      </c>
      <c r="E2364" t="s">
        <v>25</v>
      </c>
    </row>
    <row r="2365" spans="1:5" x14ac:dyDescent="0.3">
      <c r="A2365" t="s">
        <v>4</v>
      </c>
      <c r="B2365" s="1" t="s">
        <v>13</v>
      </c>
      <c r="C2365" t="s">
        <v>12</v>
      </c>
      <c r="D2365" t="s">
        <v>8</v>
      </c>
      <c r="E2365" t="s">
        <v>25</v>
      </c>
    </row>
    <row r="2366" spans="1:5" x14ac:dyDescent="0.3">
      <c r="A2366" t="s">
        <v>4</v>
      </c>
      <c r="B2366" s="1" t="s">
        <v>13</v>
      </c>
      <c r="C2366" t="s">
        <v>11</v>
      </c>
      <c r="D2366" t="s">
        <v>9</v>
      </c>
      <c r="E2366" t="s">
        <v>25</v>
      </c>
    </row>
    <row r="2367" spans="1:5" x14ac:dyDescent="0.3">
      <c r="A2367" t="s">
        <v>4</v>
      </c>
      <c r="B2367" s="1" t="s">
        <v>13</v>
      </c>
      <c r="C2367" t="s">
        <v>12</v>
      </c>
      <c r="D2367" t="s">
        <v>5</v>
      </c>
      <c r="E2367" t="s">
        <v>26</v>
      </c>
    </row>
    <row r="2368" spans="1:5" x14ac:dyDescent="0.3">
      <c r="A2368" t="s">
        <v>4</v>
      </c>
      <c r="B2368" s="1" t="s">
        <v>13</v>
      </c>
      <c r="C2368" t="s">
        <v>12</v>
      </c>
      <c r="D2368" t="s">
        <v>6</v>
      </c>
      <c r="E2368" t="s">
        <v>26</v>
      </c>
    </row>
    <row r="2369" spans="1:5" x14ac:dyDescent="0.3">
      <c r="A2369" t="s">
        <v>4</v>
      </c>
      <c r="B2369" s="1" t="s">
        <v>13</v>
      </c>
      <c r="C2369" t="s">
        <v>11</v>
      </c>
      <c r="D2369" t="s">
        <v>7</v>
      </c>
      <c r="E2369" t="s">
        <v>26</v>
      </c>
    </row>
    <row r="2370" spans="1:5" x14ac:dyDescent="0.3">
      <c r="A2370" t="s">
        <v>4</v>
      </c>
      <c r="B2370" s="1" t="s">
        <v>13</v>
      </c>
      <c r="C2370" t="s">
        <v>12</v>
      </c>
      <c r="D2370" t="s">
        <v>8</v>
      </c>
      <c r="E2370" t="s">
        <v>26</v>
      </c>
    </row>
    <row r="2371" spans="1:5" x14ac:dyDescent="0.3">
      <c r="A2371" t="s">
        <v>4</v>
      </c>
      <c r="B2371" s="1" t="s">
        <v>13</v>
      </c>
      <c r="C2371" t="s">
        <v>10</v>
      </c>
      <c r="D2371" t="s">
        <v>9</v>
      </c>
      <c r="E2371" t="s">
        <v>26</v>
      </c>
    </row>
    <row r="2372" spans="1:5" x14ac:dyDescent="0.3">
      <c r="A2372" t="s">
        <v>4</v>
      </c>
      <c r="B2372" s="1" t="s">
        <v>13</v>
      </c>
      <c r="C2372" t="s">
        <v>12</v>
      </c>
      <c r="D2372" t="s">
        <v>5</v>
      </c>
      <c r="E2372" t="s">
        <v>26</v>
      </c>
    </row>
    <row r="2373" spans="1:5" x14ac:dyDescent="0.3">
      <c r="A2373" t="s">
        <v>4</v>
      </c>
      <c r="B2373" s="1" t="s">
        <v>13</v>
      </c>
      <c r="C2373" t="s">
        <v>12</v>
      </c>
      <c r="D2373" t="s">
        <v>6</v>
      </c>
      <c r="E2373" t="s">
        <v>26</v>
      </c>
    </row>
    <row r="2374" spans="1:5" x14ac:dyDescent="0.3">
      <c r="A2374" t="s">
        <v>4</v>
      </c>
      <c r="B2374" s="1" t="s">
        <v>13</v>
      </c>
      <c r="C2374" t="s">
        <v>12</v>
      </c>
      <c r="D2374" t="s">
        <v>7</v>
      </c>
      <c r="E2374" t="s">
        <v>26</v>
      </c>
    </row>
    <row r="2375" spans="1:5" x14ac:dyDescent="0.3">
      <c r="A2375" t="s">
        <v>4</v>
      </c>
      <c r="B2375" s="1" t="s">
        <v>13</v>
      </c>
      <c r="C2375" t="s">
        <v>10</v>
      </c>
      <c r="D2375" t="s">
        <v>8</v>
      </c>
      <c r="E2375" t="s">
        <v>26</v>
      </c>
    </row>
    <row r="2376" spans="1:5" x14ac:dyDescent="0.3">
      <c r="A2376" t="s">
        <v>4</v>
      </c>
      <c r="B2376" s="1" t="s">
        <v>13</v>
      </c>
      <c r="C2376" t="s">
        <v>10</v>
      </c>
      <c r="D2376" t="s">
        <v>9</v>
      </c>
      <c r="E2376" t="s">
        <v>26</v>
      </c>
    </row>
    <row r="2377" spans="1:5" x14ac:dyDescent="0.3">
      <c r="A2377" t="s">
        <v>4</v>
      </c>
      <c r="B2377" s="1" t="s">
        <v>13</v>
      </c>
      <c r="C2377" t="s">
        <v>12</v>
      </c>
      <c r="D2377" t="s">
        <v>5</v>
      </c>
      <c r="E2377" t="s">
        <v>26</v>
      </c>
    </row>
    <row r="2378" spans="1:5" x14ac:dyDescent="0.3">
      <c r="A2378" t="s">
        <v>4</v>
      </c>
      <c r="B2378" s="1" t="s">
        <v>13</v>
      </c>
      <c r="C2378" t="s">
        <v>12</v>
      </c>
      <c r="D2378" t="s">
        <v>6</v>
      </c>
      <c r="E2378" t="s">
        <v>26</v>
      </c>
    </row>
    <row r="2379" spans="1:5" x14ac:dyDescent="0.3">
      <c r="A2379" t="s">
        <v>4</v>
      </c>
      <c r="B2379" s="1" t="s">
        <v>13</v>
      </c>
      <c r="C2379" t="s">
        <v>10</v>
      </c>
      <c r="D2379" t="s">
        <v>7</v>
      </c>
      <c r="E2379" t="s">
        <v>26</v>
      </c>
    </row>
    <row r="2380" spans="1:5" x14ac:dyDescent="0.3">
      <c r="A2380" t="s">
        <v>4</v>
      </c>
      <c r="B2380" s="1" t="s">
        <v>13</v>
      </c>
      <c r="C2380" t="s">
        <v>12</v>
      </c>
      <c r="D2380" t="s">
        <v>8</v>
      </c>
      <c r="E2380" t="s">
        <v>26</v>
      </c>
    </row>
    <row r="2381" spans="1:5" x14ac:dyDescent="0.3">
      <c r="A2381" t="s">
        <v>4</v>
      </c>
      <c r="B2381" s="1" t="s">
        <v>13</v>
      </c>
      <c r="C2381" t="s">
        <v>10</v>
      </c>
      <c r="D2381" t="s">
        <v>9</v>
      </c>
      <c r="E2381" t="s">
        <v>26</v>
      </c>
    </row>
    <row r="2382" spans="1:5" x14ac:dyDescent="0.3">
      <c r="A2382" t="s">
        <v>4</v>
      </c>
      <c r="B2382" s="1" t="s">
        <v>13</v>
      </c>
      <c r="C2382" t="s">
        <v>12</v>
      </c>
      <c r="D2382" t="s">
        <v>5</v>
      </c>
      <c r="E2382" t="s">
        <v>26</v>
      </c>
    </row>
    <row r="2383" spans="1:5" x14ac:dyDescent="0.3">
      <c r="A2383" t="s">
        <v>4</v>
      </c>
      <c r="B2383" s="1" t="s">
        <v>13</v>
      </c>
      <c r="C2383" t="s">
        <v>12</v>
      </c>
      <c r="D2383" t="s">
        <v>6</v>
      </c>
      <c r="E2383" t="s">
        <v>26</v>
      </c>
    </row>
    <row r="2384" spans="1:5" x14ac:dyDescent="0.3">
      <c r="A2384" t="s">
        <v>4</v>
      </c>
      <c r="B2384" s="1" t="s">
        <v>13</v>
      </c>
      <c r="C2384" t="s">
        <v>11</v>
      </c>
      <c r="D2384" t="s">
        <v>7</v>
      </c>
      <c r="E2384" t="s">
        <v>26</v>
      </c>
    </row>
    <row r="2385" spans="1:5" x14ac:dyDescent="0.3">
      <c r="A2385" t="s">
        <v>4</v>
      </c>
      <c r="B2385" s="1" t="s">
        <v>13</v>
      </c>
      <c r="C2385" t="s">
        <v>11</v>
      </c>
      <c r="D2385" t="s">
        <v>8</v>
      </c>
      <c r="E2385" t="s">
        <v>26</v>
      </c>
    </row>
    <row r="2386" spans="1:5" x14ac:dyDescent="0.3">
      <c r="A2386" t="s">
        <v>4</v>
      </c>
      <c r="B2386" s="1" t="s">
        <v>13</v>
      </c>
      <c r="C2386" t="s">
        <v>10</v>
      </c>
      <c r="D2386" t="s">
        <v>9</v>
      </c>
      <c r="E2386" t="s">
        <v>26</v>
      </c>
    </row>
    <row r="2387" spans="1:5" x14ac:dyDescent="0.3">
      <c r="A2387" t="s">
        <v>4</v>
      </c>
      <c r="B2387" s="1" t="s">
        <v>13</v>
      </c>
      <c r="C2387" t="s">
        <v>12</v>
      </c>
      <c r="D2387" t="s">
        <v>5</v>
      </c>
      <c r="E2387" t="s">
        <v>26</v>
      </c>
    </row>
    <row r="2388" spans="1:5" x14ac:dyDescent="0.3">
      <c r="A2388" t="s">
        <v>4</v>
      </c>
      <c r="B2388" s="1" t="s">
        <v>13</v>
      </c>
      <c r="C2388" t="s">
        <v>12</v>
      </c>
      <c r="D2388" t="s">
        <v>6</v>
      </c>
      <c r="E2388" t="s">
        <v>26</v>
      </c>
    </row>
    <row r="2389" spans="1:5" x14ac:dyDescent="0.3">
      <c r="A2389" t="s">
        <v>4</v>
      </c>
      <c r="B2389" s="1" t="s">
        <v>13</v>
      </c>
      <c r="C2389" t="s">
        <v>12</v>
      </c>
      <c r="D2389" t="s">
        <v>7</v>
      </c>
      <c r="E2389" t="s">
        <v>26</v>
      </c>
    </row>
    <row r="2390" spans="1:5" x14ac:dyDescent="0.3">
      <c r="A2390" t="s">
        <v>4</v>
      </c>
      <c r="B2390" s="1" t="s">
        <v>13</v>
      </c>
      <c r="C2390" t="s">
        <v>10</v>
      </c>
      <c r="D2390" t="s">
        <v>8</v>
      </c>
      <c r="E2390" t="s">
        <v>26</v>
      </c>
    </row>
    <row r="2391" spans="1:5" x14ac:dyDescent="0.3">
      <c r="A2391" t="s">
        <v>4</v>
      </c>
      <c r="B2391" s="1" t="s">
        <v>13</v>
      </c>
      <c r="C2391" t="s">
        <v>10</v>
      </c>
      <c r="D2391" t="s">
        <v>9</v>
      </c>
      <c r="E2391" t="s">
        <v>26</v>
      </c>
    </row>
    <row r="2392" spans="1:5" x14ac:dyDescent="0.3">
      <c r="A2392" t="s">
        <v>4</v>
      </c>
      <c r="B2392" s="1" t="s">
        <v>13</v>
      </c>
      <c r="C2392" t="s">
        <v>12</v>
      </c>
      <c r="D2392" t="s">
        <v>5</v>
      </c>
      <c r="E2392" t="s">
        <v>26</v>
      </c>
    </row>
    <row r="2393" spans="1:5" x14ac:dyDescent="0.3">
      <c r="A2393" t="s">
        <v>4</v>
      </c>
      <c r="B2393" s="1" t="s">
        <v>13</v>
      </c>
      <c r="C2393" t="s">
        <v>12</v>
      </c>
      <c r="D2393" t="s">
        <v>6</v>
      </c>
      <c r="E2393" t="s">
        <v>26</v>
      </c>
    </row>
    <row r="2394" spans="1:5" x14ac:dyDescent="0.3">
      <c r="A2394" t="s">
        <v>4</v>
      </c>
      <c r="B2394" s="1" t="s">
        <v>13</v>
      </c>
      <c r="C2394" t="s">
        <v>10</v>
      </c>
      <c r="D2394" t="s">
        <v>7</v>
      </c>
      <c r="E2394" t="s">
        <v>26</v>
      </c>
    </row>
    <row r="2395" spans="1:5" x14ac:dyDescent="0.3">
      <c r="A2395" t="s">
        <v>4</v>
      </c>
      <c r="B2395" s="1" t="s">
        <v>13</v>
      </c>
      <c r="C2395" t="s">
        <v>12</v>
      </c>
      <c r="D2395" t="s">
        <v>8</v>
      </c>
      <c r="E2395" t="s">
        <v>26</v>
      </c>
    </row>
    <row r="2396" spans="1:5" x14ac:dyDescent="0.3">
      <c r="A2396" t="s">
        <v>4</v>
      </c>
      <c r="B2396" s="1" t="s">
        <v>13</v>
      </c>
      <c r="C2396" t="s">
        <v>10</v>
      </c>
      <c r="D2396" t="s">
        <v>9</v>
      </c>
      <c r="E2396" t="s">
        <v>26</v>
      </c>
    </row>
    <row r="2397" spans="1:5" x14ac:dyDescent="0.3">
      <c r="A2397" t="s">
        <v>4</v>
      </c>
      <c r="B2397" s="1" t="s">
        <v>13</v>
      </c>
      <c r="C2397" t="s">
        <v>12</v>
      </c>
      <c r="D2397" t="s">
        <v>5</v>
      </c>
      <c r="E2397" t="s">
        <v>26</v>
      </c>
    </row>
    <row r="2398" spans="1:5" x14ac:dyDescent="0.3">
      <c r="A2398" t="s">
        <v>4</v>
      </c>
      <c r="B2398" s="1" t="s">
        <v>13</v>
      </c>
      <c r="C2398" t="s">
        <v>12</v>
      </c>
      <c r="D2398" t="s">
        <v>6</v>
      </c>
      <c r="E2398" t="s">
        <v>26</v>
      </c>
    </row>
    <row r="2399" spans="1:5" x14ac:dyDescent="0.3">
      <c r="A2399" t="s">
        <v>4</v>
      </c>
      <c r="B2399" s="1" t="s">
        <v>13</v>
      </c>
      <c r="C2399" t="s">
        <v>10</v>
      </c>
      <c r="D2399" t="s">
        <v>7</v>
      </c>
      <c r="E2399" t="s">
        <v>26</v>
      </c>
    </row>
    <row r="2400" spans="1:5" x14ac:dyDescent="0.3">
      <c r="A2400" t="s">
        <v>4</v>
      </c>
      <c r="B2400" s="1" t="s">
        <v>13</v>
      </c>
      <c r="C2400" t="s">
        <v>10</v>
      </c>
      <c r="D2400" t="s">
        <v>8</v>
      </c>
      <c r="E2400" t="s">
        <v>26</v>
      </c>
    </row>
    <row r="2401" spans="1:5" x14ac:dyDescent="0.3">
      <c r="A2401" t="s">
        <v>4</v>
      </c>
      <c r="B2401" s="1" t="s">
        <v>13</v>
      </c>
      <c r="C2401" t="s">
        <v>10</v>
      </c>
      <c r="D2401" t="s">
        <v>9</v>
      </c>
      <c r="E2401" t="s">
        <v>26</v>
      </c>
    </row>
    <row r="2402" spans="1:5" x14ac:dyDescent="0.3">
      <c r="A2402" t="s">
        <v>4</v>
      </c>
      <c r="B2402" s="1" t="s">
        <v>13</v>
      </c>
      <c r="C2402" t="s">
        <v>12</v>
      </c>
      <c r="D2402" t="s">
        <v>5</v>
      </c>
      <c r="E2402" t="s">
        <v>26</v>
      </c>
    </row>
    <row r="2403" spans="1:5" x14ac:dyDescent="0.3">
      <c r="A2403" t="s">
        <v>4</v>
      </c>
      <c r="B2403" s="1" t="s">
        <v>13</v>
      </c>
      <c r="C2403" t="s">
        <v>12</v>
      </c>
      <c r="D2403" t="s">
        <v>6</v>
      </c>
      <c r="E2403" t="s">
        <v>26</v>
      </c>
    </row>
    <row r="2404" spans="1:5" x14ac:dyDescent="0.3">
      <c r="A2404" t="s">
        <v>4</v>
      </c>
      <c r="B2404" s="1" t="s">
        <v>13</v>
      </c>
      <c r="C2404" t="s">
        <v>12</v>
      </c>
      <c r="D2404" t="s">
        <v>7</v>
      </c>
      <c r="E2404" t="s">
        <v>26</v>
      </c>
    </row>
    <row r="2405" spans="1:5" x14ac:dyDescent="0.3">
      <c r="A2405" t="s">
        <v>4</v>
      </c>
      <c r="B2405" s="1" t="s">
        <v>13</v>
      </c>
      <c r="C2405" t="s">
        <v>12</v>
      </c>
      <c r="D2405" t="s">
        <v>8</v>
      </c>
      <c r="E2405" t="s">
        <v>26</v>
      </c>
    </row>
    <row r="2406" spans="1:5" x14ac:dyDescent="0.3">
      <c r="A2406" t="s">
        <v>4</v>
      </c>
      <c r="B2406" s="1" t="s">
        <v>13</v>
      </c>
      <c r="C2406" t="s">
        <v>10</v>
      </c>
      <c r="D2406" t="s">
        <v>9</v>
      </c>
      <c r="E2406" t="s">
        <v>26</v>
      </c>
    </row>
    <row r="2407" spans="1:5" x14ac:dyDescent="0.3">
      <c r="A2407" t="s">
        <v>4</v>
      </c>
      <c r="B2407" s="1" t="s">
        <v>13</v>
      </c>
      <c r="C2407" t="s">
        <v>12</v>
      </c>
      <c r="D2407" t="s">
        <v>5</v>
      </c>
      <c r="E2407" t="s">
        <v>26</v>
      </c>
    </row>
    <row r="2408" spans="1:5" x14ac:dyDescent="0.3">
      <c r="A2408" t="s">
        <v>4</v>
      </c>
      <c r="B2408" s="1" t="s">
        <v>13</v>
      </c>
      <c r="C2408" t="s">
        <v>12</v>
      </c>
      <c r="D2408" t="s">
        <v>6</v>
      </c>
      <c r="E2408" t="s">
        <v>26</v>
      </c>
    </row>
    <row r="2409" spans="1:5" x14ac:dyDescent="0.3">
      <c r="A2409" t="s">
        <v>4</v>
      </c>
      <c r="B2409" s="1" t="s">
        <v>13</v>
      </c>
      <c r="C2409" t="s">
        <v>12</v>
      </c>
      <c r="D2409" t="s">
        <v>7</v>
      </c>
      <c r="E2409" t="s">
        <v>26</v>
      </c>
    </row>
    <row r="2410" spans="1:5" x14ac:dyDescent="0.3">
      <c r="A2410" t="s">
        <v>4</v>
      </c>
      <c r="B2410" s="1" t="s">
        <v>13</v>
      </c>
      <c r="C2410" t="s">
        <v>11</v>
      </c>
      <c r="D2410" t="s">
        <v>8</v>
      </c>
      <c r="E2410" t="s">
        <v>26</v>
      </c>
    </row>
    <row r="2411" spans="1:5" x14ac:dyDescent="0.3">
      <c r="A2411" t="s">
        <v>4</v>
      </c>
      <c r="B2411" s="1" t="s">
        <v>13</v>
      </c>
      <c r="C2411" t="s">
        <v>10</v>
      </c>
      <c r="D2411" t="s">
        <v>9</v>
      </c>
      <c r="E2411" t="s">
        <v>26</v>
      </c>
    </row>
    <row r="2412" spans="1:5" x14ac:dyDescent="0.3">
      <c r="A2412" t="s">
        <v>4</v>
      </c>
      <c r="B2412" s="1" t="s">
        <v>13</v>
      </c>
      <c r="C2412" t="s">
        <v>12</v>
      </c>
      <c r="D2412" t="s">
        <v>5</v>
      </c>
      <c r="E2412" t="s">
        <v>26</v>
      </c>
    </row>
    <row r="2413" spans="1:5" x14ac:dyDescent="0.3">
      <c r="A2413" t="s">
        <v>4</v>
      </c>
      <c r="B2413" s="1" t="s">
        <v>13</v>
      </c>
      <c r="C2413" t="s">
        <v>12</v>
      </c>
      <c r="D2413" t="s">
        <v>6</v>
      </c>
      <c r="E2413" t="s">
        <v>26</v>
      </c>
    </row>
    <row r="2414" spans="1:5" x14ac:dyDescent="0.3">
      <c r="A2414" t="s">
        <v>4</v>
      </c>
      <c r="B2414" s="1" t="s">
        <v>13</v>
      </c>
      <c r="C2414" t="s">
        <v>12</v>
      </c>
      <c r="D2414" t="s">
        <v>7</v>
      </c>
      <c r="E2414" t="s">
        <v>26</v>
      </c>
    </row>
    <row r="2415" spans="1:5" x14ac:dyDescent="0.3">
      <c r="A2415" t="s">
        <v>4</v>
      </c>
      <c r="B2415" s="1" t="s">
        <v>13</v>
      </c>
      <c r="C2415" t="s">
        <v>12</v>
      </c>
      <c r="D2415" t="s">
        <v>8</v>
      </c>
      <c r="E2415" t="s">
        <v>26</v>
      </c>
    </row>
    <row r="2416" spans="1:5" x14ac:dyDescent="0.3">
      <c r="A2416" t="s">
        <v>4</v>
      </c>
      <c r="B2416" s="1" t="s">
        <v>13</v>
      </c>
      <c r="C2416" t="s">
        <v>10</v>
      </c>
      <c r="D2416" t="s">
        <v>9</v>
      </c>
      <c r="E2416" t="s">
        <v>26</v>
      </c>
    </row>
    <row r="2417" spans="1:5" x14ac:dyDescent="0.3">
      <c r="A2417" t="s">
        <v>4</v>
      </c>
      <c r="B2417" s="1" t="s">
        <v>13</v>
      </c>
      <c r="C2417" t="s">
        <v>12</v>
      </c>
      <c r="D2417" t="s">
        <v>5</v>
      </c>
      <c r="E2417" t="s">
        <v>26</v>
      </c>
    </row>
    <row r="2418" spans="1:5" x14ac:dyDescent="0.3">
      <c r="A2418" t="s">
        <v>4</v>
      </c>
      <c r="B2418" s="1" t="s">
        <v>13</v>
      </c>
      <c r="C2418" t="s">
        <v>12</v>
      </c>
      <c r="D2418" t="s">
        <v>6</v>
      </c>
      <c r="E2418" t="s">
        <v>26</v>
      </c>
    </row>
    <row r="2419" spans="1:5" x14ac:dyDescent="0.3">
      <c r="A2419" t="s">
        <v>4</v>
      </c>
      <c r="B2419" s="1" t="s">
        <v>13</v>
      </c>
      <c r="C2419" t="s">
        <v>12</v>
      </c>
      <c r="D2419" t="s">
        <v>7</v>
      </c>
      <c r="E2419" t="s">
        <v>26</v>
      </c>
    </row>
    <row r="2420" spans="1:5" x14ac:dyDescent="0.3">
      <c r="A2420" t="s">
        <v>4</v>
      </c>
      <c r="B2420" s="1" t="s">
        <v>13</v>
      </c>
      <c r="C2420" t="s">
        <v>12</v>
      </c>
      <c r="D2420" t="s">
        <v>8</v>
      </c>
      <c r="E2420" t="s">
        <v>26</v>
      </c>
    </row>
    <row r="2421" spans="1:5" x14ac:dyDescent="0.3">
      <c r="A2421" t="s">
        <v>4</v>
      </c>
      <c r="B2421" s="1" t="s">
        <v>13</v>
      </c>
      <c r="C2421" t="s">
        <v>10</v>
      </c>
      <c r="D2421" t="s">
        <v>9</v>
      </c>
      <c r="E2421" t="s">
        <v>26</v>
      </c>
    </row>
    <row r="2422" spans="1:5" x14ac:dyDescent="0.3">
      <c r="A2422" t="s">
        <v>4</v>
      </c>
      <c r="B2422" s="1" t="s">
        <v>13</v>
      </c>
      <c r="C2422" t="s">
        <v>12</v>
      </c>
      <c r="D2422" t="s">
        <v>5</v>
      </c>
      <c r="E2422" t="s">
        <v>26</v>
      </c>
    </row>
    <row r="2423" spans="1:5" x14ac:dyDescent="0.3">
      <c r="A2423" t="s">
        <v>4</v>
      </c>
      <c r="B2423" s="1" t="s">
        <v>13</v>
      </c>
      <c r="C2423" t="s">
        <v>12</v>
      </c>
      <c r="D2423" t="s">
        <v>6</v>
      </c>
      <c r="E2423" t="s">
        <v>26</v>
      </c>
    </row>
    <row r="2424" spans="1:5" x14ac:dyDescent="0.3">
      <c r="A2424" t="s">
        <v>4</v>
      </c>
      <c r="B2424" s="1" t="s">
        <v>13</v>
      </c>
      <c r="C2424" t="s">
        <v>12</v>
      </c>
      <c r="D2424" t="s">
        <v>7</v>
      </c>
      <c r="E2424" t="s">
        <v>26</v>
      </c>
    </row>
    <row r="2425" spans="1:5" x14ac:dyDescent="0.3">
      <c r="A2425" t="s">
        <v>4</v>
      </c>
      <c r="B2425" s="1" t="s">
        <v>13</v>
      </c>
      <c r="C2425" t="s">
        <v>12</v>
      </c>
      <c r="D2425" t="s">
        <v>8</v>
      </c>
      <c r="E2425" t="s">
        <v>26</v>
      </c>
    </row>
    <row r="2426" spans="1:5" x14ac:dyDescent="0.3">
      <c r="A2426" t="s">
        <v>4</v>
      </c>
      <c r="B2426" s="1" t="s">
        <v>13</v>
      </c>
      <c r="C2426" t="s">
        <v>10</v>
      </c>
      <c r="D2426" t="s">
        <v>9</v>
      </c>
      <c r="E2426" t="s">
        <v>26</v>
      </c>
    </row>
    <row r="2427" spans="1:5" x14ac:dyDescent="0.3">
      <c r="A2427" t="s">
        <v>4</v>
      </c>
      <c r="B2427" s="1" t="s">
        <v>13</v>
      </c>
      <c r="C2427" t="s">
        <v>12</v>
      </c>
      <c r="D2427" t="s">
        <v>5</v>
      </c>
      <c r="E2427" t="s">
        <v>26</v>
      </c>
    </row>
    <row r="2428" spans="1:5" x14ac:dyDescent="0.3">
      <c r="A2428" t="s">
        <v>4</v>
      </c>
      <c r="B2428" s="1" t="s">
        <v>13</v>
      </c>
      <c r="C2428" t="s">
        <v>12</v>
      </c>
      <c r="D2428" t="s">
        <v>6</v>
      </c>
      <c r="E2428" t="s">
        <v>26</v>
      </c>
    </row>
    <row r="2429" spans="1:5" x14ac:dyDescent="0.3">
      <c r="A2429" t="s">
        <v>4</v>
      </c>
      <c r="B2429" s="1" t="s">
        <v>13</v>
      </c>
      <c r="C2429" t="s">
        <v>11</v>
      </c>
      <c r="D2429" t="s">
        <v>7</v>
      </c>
      <c r="E2429" t="s">
        <v>26</v>
      </c>
    </row>
    <row r="2430" spans="1:5" x14ac:dyDescent="0.3">
      <c r="A2430" t="s">
        <v>4</v>
      </c>
      <c r="B2430" s="1" t="s">
        <v>13</v>
      </c>
      <c r="C2430" t="s">
        <v>10</v>
      </c>
      <c r="D2430" t="s">
        <v>8</v>
      </c>
      <c r="E2430" t="s">
        <v>26</v>
      </c>
    </row>
    <row r="2431" spans="1:5" x14ac:dyDescent="0.3">
      <c r="A2431" t="s">
        <v>4</v>
      </c>
      <c r="B2431" s="1" t="s">
        <v>13</v>
      </c>
      <c r="C2431" t="s">
        <v>10</v>
      </c>
      <c r="D2431" t="s">
        <v>9</v>
      </c>
      <c r="E2431" t="s">
        <v>26</v>
      </c>
    </row>
    <row r="2432" spans="1:5" x14ac:dyDescent="0.3">
      <c r="A2432" t="s">
        <v>4</v>
      </c>
      <c r="B2432" s="1" t="s">
        <v>13</v>
      </c>
      <c r="C2432" t="s">
        <v>12</v>
      </c>
      <c r="D2432" t="s">
        <v>5</v>
      </c>
      <c r="E2432" t="s">
        <v>26</v>
      </c>
    </row>
    <row r="2433" spans="1:5" x14ac:dyDescent="0.3">
      <c r="A2433" t="s">
        <v>4</v>
      </c>
      <c r="B2433" s="1" t="s">
        <v>13</v>
      </c>
      <c r="C2433" t="s">
        <v>12</v>
      </c>
      <c r="D2433" t="s">
        <v>6</v>
      </c>
      <c r="E2433" t="s">
        <v>26</v>
      </c>
    </row>
    <row r="2434" spans="1:5" x14ac:dyDescent="0.3">
      <c r="A2434" t="s">
        <v>4</v>
      </c>
      <c r="B2434" s="1" t="s">
        <v>13</v>
      </c>
      <c r="C2434" t="s">
        <v>12</v>
      </c>
      <c r="D2434" t="s">
        <v>7</v>
      </c>
      <c r="E2434" t="s">
        <v>26</v>
      </c>
    </row>
    <row r="2435" spans="1:5" x14ac:dyDescent="0.3">
      <c r="A2435" t="s">
        <v>4</v>
      </c>
      <c r="B2435" s="1" t="s">
        <v>13</v>
      </c>
      <c r="C2435" t="s">
        <v>12</v>
      </c>
      <c r="D2435" t="s">
        <v>8</v>
      </c>
      <c r="E2435" t="s">
        <v>26</v>
      </c>
    </row>
    <row r="2436" spans="1:5" x14ac:dyDescent="0.3">
      <c r="A2436" t="s">
        <v>4</v>
      </c>
      <c r="B2436" s="1" t="s">
        <v>13</v>
      </c>
      <c r="C2436" t="s">
        <v>10</v>
      </c>
      <c r="D2436" t="s">
        <v>9</v>
      </c>
      <c r="E2436" t="s">
        <v>26</v>
      </c>
    </row>
    <row r="2437" spans="1:5" x14ac:dyDescent="0.3">
      <c r="A2437" t="s">
        <v>4</v>
      </c>
      <c r="B2437" s="1" t="s">
        <v>13</v>
      </c>
      <c r="C2437" t="s">
        <v>12</v>
      </c>
      <c r="D2437" t="s">
        <v>5</v>
      </c>
      <c r="E2437" t="s">
        <v>26</v>
      </c>
    </row>
    <row r="2438" spans="1:5" x14ac:dyDescent="0.3">
      <c r="A2438" t="s">
        <v>4</v>
      </c>
      <c r="B2438" s="1" t="s">
        <v>13</v>
      </c>
      <c r="C2438" t="s">
        <v>12</v>
      </c>
      <c r="D2438" t="s">
        <v>6</v>
      </c>
      <c r="E2438" t="s">
        <v>26</v>
      </c>
    </row>
    <row r="2439" spans="1:5" x14ac:dyDescent="0.3">
      <c r="A2439" t="s">
        <v>4</v>
      </c>
      <c r="B2439" s="1" t="s">
        <v>13</v>
      </c>
      <c r="C2439" t="s">
        <v>10</v>
      </c>
      <c r="D2439" t="s">
        <v>7</v>
      </c>
      <c r="E2439" t="s">
        <v>26</v>
      </c>
    </row>
    <row r="2440" spans="1:5" x14ac:dyDescent="0.3">
      <c r="A2440" t="s">
        <v>4</v>
      </c>
      <c r="B2440" s="1" t="s">
        <v>13</v>
      </c>
      <c r="C2440" t="s">
        <v>10</v>
      </c>
      <c r="D2440" t="s">
        <v>8</v>
      </c>
      <c r="E2440" t="s">
        <v>26</v>
      </c>
    </row>
    <row r="2441" spans="1:5" x14ac:dyDescent="0.3">
      <c r="A2441" t="s">
        <v>4</v>
      </c>
      <c r="B2441" s="1" t="s">
        <v>13</v>
      </c>
      <c r="C2441" t="s">
        <v>10</v>
      </c>
      <c r="D2441" t="s">
        <v>9</v>
      </c>
      <c r="E2441" t="s">
        <v>26</v>
      </c>
    </row>
    <row r="2442" spans="1:5" x14ac:dyDescent="0.3">
      <c r="A2442" t="s">
        <v>4</v>
      </c>
      <c r="B2442" s="1" t="s">
        <v>13</v>
      </c>
      <c r="C2442" t="s">
        <v>12</v>
      </c>
      <c r="D2442" t="s">
        <v>5</v>
      </c>
      <c r="E2442" t="s">
        <v>26</v>
      </c>
    </row>
    <row r="2443" spans="1:5" x14ac:dyDescent="0.3">
      <c r="A2443" t="s">
        <v>4</v>
      </c>
      <c r="B2443" s="1" t="s">
        <v>13</v>
      </c>
      <c r="C2443" t="s">
        <v>12</v>
      </c>
      <c r="D2443" t="s">
        <v>6</v>
      </c>
      <c r="E2443" t="s">
        <v>26</v>
      </c>
    </row>
    <row r="2444" spans="1:5" x14ac:dyDescent="0.3">
      <c r="A2444" t="s">
        <v>4</v>
      </c>
      <c r="B2444" s="1" t="s">
        <v>13</v>
      </c>
      <c r="C2444" t="s">
        <v>11</v>
      </c>
      <c r="D2444" t="s">
        <v>7</v>
      </c>
      <c r="E2444" t="s">
        <v>26</v>
      </c>
    </row>
    <row r="2445" spans="1:5" x14ac:dyDescent="0.3">
      <c r="A2445" t="s">
        <v>4</v>
      </c>
      <c r="B2445" s="1" t="s">
        <v>13</v>
      </c>
      <c r="C2445" t="s">
        <v>10</v>
      </c>
      <c r="D2445" t="s">
        <v>8</v>
      </c>
      <c r="E2445" t="s">
        <v>26</v>
      </c>
    </row>
    <row r="2446" spans="1:5" x14ac:dyDescent="0.3">
      <c r="A2446" t="s">
        <v>4</v>
      </c>
      <c r="B2446" s="1" t="s">
        <v>13</v>
      </c>
      <c r="C2446" t="s">
        <v>10</v>
      </c>
      <c r="D2446" t="s">
        <v>9</v>
      </c>
      <c r="E2446" t="s">
        <v>26</v>
      </c>
    </row>
    <row r="2447" spans="1:5" x14ac:dyDescent="0.3">
      <c r="A2447" t="s">
        <v>4</v>
      </c>
      <c r="B2447" s="1" t="s">
        <v>13</v>
      </c>
      <c r="C2447" t="s">
        <v>12</v>
      </c>
      <c r="D2447" t="s">
        <v>5</v>
      </c>
      <c r="E2447" t="s">
        <v>26</v>
      </c>
    </row>
    <row r="2448" spans="1:5" x14ac:dyDescent="0.3">
      <c r="A2448" t="s">
        <v>4</v>
      </c>
      <c r="B2448" s="1" t="s">
        <v>13</v>
      </c>
      <c r="C2448" t="s">
        <v>12</v>
      </c>
      <c r="D2448" t="s">
        <v>6</v>
      </c>
      <c r="E2448" t="s">
        <v>26</v>
      </c>
    </row>
    <row r="2449" spans="1:5" x14ac:dyDescent="0.3">
      <c r="A2449" t="s">
        <v>4</v>
      </c>
      <c r="B2449" s="1" t="s">
        <v>13</v>
      </c>
      <c r="C2449" t="s">
        <v>12</v>
      </c>
      <c r="D2449" t="s">
        <v>7</v>
      </c>
      <c r="E2449" t="s">
        <v>26</v>
      </c>
    </row>
    <row r="2450" spans="1:5" x14ac:dyDescent="0.3">
      <c r="A2450" t="s">
        <v>4</v>
      </c>
      <c r="B2450" s="1" t="s">
        <v>13</v>
      </c>
      <c r="C2450" t="s">
        <v>12</v>
      </c>
      <c r="D2450" t="s">
        <v>8</v>
      </c>
      <c r="E2450" t="s">
        <v>26</v>
      </c>
    </row>
    <row r="2451" spans="1:5" x14ac:dyDescent="0.3">
      <c r="A2451" t="s">
        <v>4</v>
      </c>
      <c r="B2451" s="1" t="s">
        <v>13</v>
      </c>
      <c r="C2451" t="s">
        <v>10</v>
      </c>
      <c r="D2451" t="s">
        <v>9</v>
      </c>
      <c r="E2451" t="s">
        <v>26</v>
      </c>
    </row>
    <row r="2452" spans="1:5" x14ac:dyDescent="0.3">
      <c r="A2452" t="s">
        <v>4</v>
      </c>
      <c r="B2452" s="1" t="s">
        <v>13</v>
      </c>
      <c r="C2452" t="s">
        <v>12</v>
      </c>
      <c r="D2452" t="s">
        <v>5</v>
      </c>
      <c r="E2452" t="s">
        <v>26</v>
      </c>
    </row>
    <row r="2453" spans="1:5" x14ac:dyDescent="0.3">
      <c r="A2453" t="s">
        <v>4</v>
      </c>
      <c r="B2453" s="1" t="s">
        <v>13</v>
      </c>
      <c r="C2453" t="s">
        <v>12</v>
      </c>
      <c r="D2453" t="s">
        <v>6</v>
      </c>
      <c r="E2453" t="s">
        <v>26</v>
      </c>
    </row>
    <row r="2454" spans="1:5" x14ac:dyDescent="0.3">
      <c r="A2454" t="s">
        <v>4</v>
      </c>
      <c r="B2454" s="1" t="s">
        <v>13</v>
      </c>
      <c r="C2454" t="s">
        <v>12</v>
      </c>
      <c r="D2454" t="s">
        <v>7</v>
      </c>
      <c r="E2454" t="s">
        <v>26</v>
      </c>
    </row>
    <row r="2455" spans="1:5" x14ac:dyDescent="0.3">
      <c r="A2455" t="s">
        <v>4</v>
      </c>
      <c r="B2455" s="1" t="s">
        <v>13</v>
      </c>
      <c r="C2455" t="s">
        <v>12</v>
      </c>
      <c r="D2455" t="s">
        <v>8</v>
      </c>
      <c r="E2455" t="s">
        <v>26</v>
      </c>
    </row>
    <row r="2456" spans="1:5" x14ac:dyDescent="0.3">
      <c r="A2456" t="s">
        <v>4</v>
      </c>
      <c r="B2456" s="1" t="s">
        <v>13</v>
      </c>
      <c r="C2456" t="s">
        <v>10</v>
      </c>
      <c r="D2456" t="s">
        <v>9</v>
      </c>
      <c r="E2456" t="s">
        <v>26</v>
      </c>
    </row>
    <row r="2457" spans="1:5" x14ac:dyDescent="0.3">
      <c r="A2457" t="s">
        <v>4</v>
      </c>
      <c r="B2457" s="1" t="s">
        <v>13</v>
      </c>
      <c r="C2457" t="s">
        <v>12</v>
      </c>
      <c r="D2457" t="s">
        <v>5</v>
      </c>
      <c r="E2457" t="s">
        <v>26</v>
      </c>
    </row>
    <row r="2458" spans="1:5" x14ac:dyDescent="0.3">
      <c r="A2458" t="s">
        <v>4</v>
      </c>
      <c r="B2458" s="1" t="s">
        <v>13</v>
      </c>
      <c r="C2458" t="s">
        <v>12</v>
      </c>
      <c r="D2458" t="s">
        <v>6</v>
      </c>
      <c r="E2458" t="s">
        <v>26</v>
      </c>
    </row>
    <row r="2459" spans="1:5" x14ac:dyDescent="0.3">
      <c r="A2459" t="s">
        <v>4</v>
      </c>
      <c r="B2459" s="1" t="s">
        <v>13</v>
      </c>
      <c r="C2459" t="s">
        <v>12</v>
      </c>
      <c r="D2459" t="s">
        <v>7</v>
      </c>
      <c r="E2459" t="s">
        <v>26</v>
      </c>
    </row>
    <row r="2460" spans="1:5" x14ac:dyDescent="0.3">
      <c r="A2460" t="s">
        <v>4</v>
      </c>
      <c r="B2460" s="1" t="s">
        <v>13</v>
      </c>
      <c r="C2460" t="s">
        <v>12</v>
      </c>
      <c r="D2460" t="s">
        <v>8</v>
      </c>
      <c r="E2460" t="s">
        <v>26</v>
      </c>
    </row>
    <row r="2461" spans="1:5" x14ac:dyDescent="0.3">
      <c r="A2461" t="s">
        <v>4</v>
      </c>
      <c r="B2461" s="1" t="s">
        <v>13</v>
      </c>
      <c r="C2461" t="s">
        <v>10</v>
      </c>
      <c r="D2461" t="s">
        <v>9</v>
      </c>
      <c r="E2461" t="s">
        <v>26</v>
      </c>
    </row>
    <row r="2462" spans="1:5" x14ac:dyDescent="0.3">
      <c r="A2462" t="s">
        <v>4</v>
      </c>
      <c r="B2462" s="1" t="s">
        <v>13</v>
      </c>
      <c r="C2462" t="s">
        <v>12</v>
      </c>
      <c r="D2462" t="s">
        <v>5</v>
      </c>
      <c r="E2462" t="s">
        <v>26</v>
      </c>
    </row>
    <row r="2463" spans="1:5" x14ac:dyDescent="0.3">
      <c r="A2463" t="s">
        <v>4</v>
      </c>
      <c r="B2463" s="1" t="s">
        <v>13</v>
      </c>
      <c r="C2463" t="s">
        <v>12</v>
      </c>
      <c r="D2463" t="s">
        <v>6</v>
      </c>
      <c r="E2463" t="s">
        <v>26</v>
      </c>
    </row>
    <row r="2464" spans="1:5" x14ac:dyDescent="0.3">
      <c r="A2464" t="s">
        <v>4</v>
      </c>
      <c r="B2464" s="1" t="s">
        <v>13</v>
      </c>
      <c r="C2464" t="s">
        <v>12</v>
      </c>
      <c r="D2464" t="s">
        <v>7</v>
      </c>
      <c r="E2464" t="s">
        <v>26</v>
      </c>
    </row>
    <row r="2465" spans="1:5" x14ac:dyDescent="0.3">
      <c r="A2465" t="s">
        <v>4</v>
      </c>
      <c r="B2465" s="1" t="s">
        <v>13</v>
      </c>
      <c r="C2465" t="s">
        <v>12</v>
      </c>
      <c r="D2465" t="s">
        <v>8</v>
      </c>
      <c r="E2465" t="s">
        <v>26</v>
      </c>
    </row>
    <row r="2466" spans="1:5" x14ac:dyDescent="0.3">
      <c r="A2466" t="s">
        <v>4</v>
      </c>
      <c r="B2466" s="1" t="s">
        <v>13</v>
      </c>
      <c r="C2466" t="s">
        <v>10</v>
      </c>
      <c r="D2466" t="s">
        <v>9</v>
      </c>
      <c r="E2466" t="s">
        <v>26</v>
      </c>
    </row>
    <row r="2467" spans="1:5" x14ac:dyDescent="0.3">
      <c r="A2467" t="s">
        <v>4</v>
      </c>
      <c r="B2467" s="1" t="s">
        <v>13</v>
      </c>
      <c r="C2467" t="s">
        <v>12</v>
      </c>
      <c r="D2467" t="s">
        <v>5</v>
      </c>
      <c r="E2467" t="s">
        <v>26</v>
      </c>
    </row>
    <row r="2468" spans="1:5" x14ac:dyDescent="0.3">
      <c r="A2468" t="s">
        <v>4</v>
      </c>
      <c r="B2468" s="1" t="s">
        <v>13</v>
      </c>
      <c r="C2468" t="s">
        <v>12</v>
      </c>
      <c r="D2468" t="s">
        <v>6</v>
      </c>
      <c r="E2468" t="s">
        <v>26</v>
      </c>
    </row>
    <row r="2469" spans="1:5" x14ac:dyDescent="0.3">
      <c r="A2469" t="s">
        <v>4</v>
      </c>
      <c r="B2469" s="1" t="s">
        <v>13</v>
      </c>
      <c r="C2469" t="s">
        <v>12</v>
      </c>
      <c r="D2469" t="s">
        <v>7</v>
      </c>
      <c r="E2469" t="s">
        <v>26</v>
      </c>
    </row>
    <row r="2470" spans="1:5" x14ac:dyDescent="0.3">
      <c r="A2470" t="s">
        <v>4</v>
      </c>
      <c r="B2470" s="1" t="s">
        <v>13</v>
      </c>
      <c r="C2470" t="s">
        <v>12</v>
      </c>
      <c r="D2470" t="s">
        <v>8</v>
      </c>
      <c r="E2470" t="s">
        <v>26</v>
      </c>
    </row>
    <row r="2471" spans="1:5" x14ac:dyDescent="0.3">
      <c r="A2471" t="s">
        <v>4</v>
      </c>
      <c r="B2471" s="1" t="s">
        <v>13</v>
      </c>
      <c r="C2471" t="s">
        <v>10</v>
      </c>
      <c r="D2471" t="s">
        <v>9</v>
      </c>
      <c r="E2471" t="s">
        <v>26</v>
      </c>
    </row>
    <row r="2472" spans="1:5" x14ac:dyDescent="0.3">
      <c r="A2472" t="s">
        <v>4</v>
      </c>
      <c r="B2472" s="1" t="s">
        <v>13</v>
      </c>
      <c r="C2472" t="s">
        <v>12</v>
      </c>
      <c r="D2472" t="s">
        <v>5</v>
      </c>
      <c r="E2472" t="s">
        <v>26</v>
      </c>
    </row>
    <row r="2473" spans="1:5" x14ac:dyDescent="0.3">
      <c r="A2473" t="s">
        <v>4</v>
      </c>
      <c r="B2473" s="1" t="s">
        <v>13</v>
      </c>
      <c r="C2473" t="s">
        <v>12</v>
      </c>
      <c r="D2473" t="s">
        <v>6</v>
      </c>
      <c r="E2473" t="s">
        <v>26</v>
      </c>
    </row>
    <row r="2474" spans="1:5" x14ac:dyDescent="0.3">
      <c r="A2474" t="s">
        <v>4</v>
      </c>
      <c r="B2474" s="1" t="s">
        <v>13</v>
      </c>
      <c r="C2474" t="s">
        <v>12</v>
      </c>
      <c r="D2474" t="s">
        <v>7</v>
      </c>
      <c r="E2474" t="s">
        <v>26</v>
      </c>
    </row>
    <row r="2475" spans="1:5" x14ac:dyDescent="0.3">
      <c r="A2475" t="s">
        <v>4</v>
      </c>
      <c r="B2475" s="1" t="s">
        <v>13</v>
      </c>
      <c r="C2475" t="s">
        <v>12</v>
      </c>
      <c r="D2475" t="s">
        <v>8</v>
      </c>
      <c r="E2475" t="s">
        <v>26</v>
      </c>
    </row>
    <row r="2476" spans="1:5" x14ac:dyDescent="0.3">
      <c r="A2476" t="s">
        <v>4</v>
      </c>
      <c r="B2476" s="1" t="s">
        <v>13</v>
      </c>
      <c r="C2476" t="s">
        <v>10</v>
      </c>
      <c r="D2476" t="s">
        <v>9</v>
      </c>
      <c r="E2476" t="s">
        <v>26</v>
      </c>
    </row>
    <row r="2477" spans="1:5" x14ac:dyDescent="0.3">
      <c r="A2477" t="s">
        <v>4</v>
      </c>
      <c r="B2477" s="1" t="s">
        <v>13</v>
      </c>
      <c r="C2477" t="s">
        <v>12</v>
      </c>
      <c r="D2477" t="s">
        <v>5</v>
      </c>
      <c r="E2477" t="s">
        <v>26</v>
      </c>
    </row>
    <row r="2478" spans="1:5" x14ac:dyDescent="0.3">
      <c r="A2478" t="s">
        <v>4</v>
      </c>
      <c r="B2478" s="1" t="s">
        <v>13</v>
      </c>
      <c r="C2478" t="s">
        <v>12</v>
      </c>
      <c r="D2478" t="s">
        <v>6</v>
      </c>
      <c r="E2478" t="s">
        <v>26</v>
      </c>
    </row>
    <row r="2479" spans="1:5" x14ac:dyDescent="0.3">
      <c r="A2479" t="s">
        <v>4</v>
      </c>
      <c r="B2479" s="1" t="s">
        <v>13</v>
      </c>
      <c r="C2479" t="s">
        <v>12</v>
      </c>
      <c r="D2479" t="s">
        <v>7</v>
      </c>
      <c r="E2479" t="s">
        <v>26</v>
      </c>
    </row>
    <row r="2480" spans="1:5" x14ac:dyDescent="0.3">
      <c r="A2480" t="s">
        <v>4</v>
      </c>
      <c r="B2480" s="1" t="s">
        <v>13</v>
      </c>
      <c r="C2480" t="s">
        <v>12</v>
      </c>
      <c r="D2480" t="s">
        <v>8</v>
      </c>
      <c r="E2480" t="s">
        <v>26</v>
      </c>
    </row>
    <row r="2481" spans="1:5" x14ac:dyDescent="0.3">
      <c r="A2481" t="s">
        <v>4</v>
      </c>
      <c r="B2481" s="1" t="s">
        <v>13</v>
      </c>
      <c r="C2481" t="s">
        <v>10</v>
      </c>
      <c r="D2481" t="s">
        <v>9</v>
      </c>
      <c r="E2481" t="s">
        <v>26</v>
      </c>
    </row>
    <row r="2482" spans="1:5" x14ac:dyDescent="0.3">
      <c r="A2482" t="s">
        <v>4</v>
      </c>
      <c r="B2482" s="1" t="s">
        <v>13</v>
      </c>
      <c r="C2482" t="s">
        <v>12</v>
      </c>
      <c r="D2482" t="s">
        <v>5</v>
      </c>
      <c r="E2482" t="s">
        <v>26</v>
      </c>
    </row>
    <row r="2483" spans="1:5" x14ac:dyDescent="0.3">
      <c r="A2483" t="s">
        <v>4</v>
      </c>
      <c r="B2483" s="1" t="s">
        <v>13</v>
      </c>
      <c r="C2483" t="s">
        <v>12</v>
      </c>
      <c r="D2483" t="s">
        <v>6</v>
      </c>
      <c r="E2483" t="s">
        <v>26</v>
      </c>
    </row>
    <row r="2484" spans="1:5" x14ac:dyDescent="0.3">
      <c r="A2484" t="s">
        <v>4</v>
      </c>
      <c r="B2484" s="1" t="s">
        <v>13</v>
      </c>
      <c r="C2484" t="s">
        <v>12</v>
      </c>
      <c r="D2484" t="s">
        <v>7</v>
      </c>
      <c r="E2484" t="s">
        <v>26</v>
      </c>
    </row>
    <row r="2485" spans="1:5" x14ac:dyDescent="0.3">
      <c r="A2485" t="s">
        <v>4</v>
      </c>
      <c r="B2485" s="1" t="s">
        <v>13</v>
      </c>
      <c r="C2485" t="s">
        <v>12</v>
      </c>
      <c r="D2485" t="s">
        <v>8</v>
      </c>
      <c r="E2485" t="s">
        <v>26</v>
      </c>
    </row>
    <row r="2486" spans="1:5" x14ac:dyDescent="0.3">
      <c r="A2486" t="s">
        <v>4</v>
      </c>
      <c r="B2486" s="1" t="s">
        <v>13</v>
      </c>
      <c r="C2486" t="s">
        <v>10</v>
      </c>
      <c r="D2486" t="s">
        <v>9</v>
      </c>
      <c r="E2486" t="s">
        <v>26</v>
      </c>
    </row>
    <row r="2487" spans="1:5" x14ac:dyDescent="0.3">
      <c r="A2487" t="s">
        <v>4</v>
      </c>
      <c r="B2487" s="1" t="s">
        <v>13</v>
      </c>
      <c r="C2487" t="s">
        <v>12</v>
      </c>
      <c r="D2487" t="s">
        <v>5</v>
      </c>
      <c r="E2487" t="s">
        <v>26</v>
      </c>
    </row>
    <row r="2488" spans="1:5" x14ac:dyDescent="0.3">
      <c r="A2488" t="s">
        <v>4</v>
      </c>
      <c r="B2488" s="1" t="s">
        <v>13</v>
      </c>
      <c r="C2488" t="s">
        <v>12</v>
      </c>
      <c r="D2488" t="s">
        <v>6</v>
      </c>
      <c r="E2488" t="s">
        <v>26</v>
      </c>
    </row>
    <row r="2489" spans="1:5" x14ac:dyDescent="0.3">
      <c r="A2489" t="s">
        <v>4</v>
      </c>
      <c r="B2489" s="1" t="s">
        <v>13</v>
      </c>
      <c r="C2489" t="s">
        <v>11</v>
      </c>
      <c r="D2489" t="s">
        <v>7</v>
      </c>
      <c r="E2489" t="s">
        <v>26</v>
      </c>
    </row>
    <row r="2490" spans="1:5" x14ac:dyDescent="0.3">
      <c r="A2490" t="s">
        <v>4</v>
      </c>
      <c r="B2490" s="1" t="s">
        <v>13</v>
      </c>
      <c r="C2490" t="s">
        <v>12</v>
      </c>
      <c r="D2490" t="s">
        <v>8</v>
      </c>
      <c r="E2490" t="s">
        <v>26</v>
      </c>
    </row>
    <row r="2491" spans="1:5" x14ac:dyDescent="0.3">
      <c r="A2491" t="s">
        <v>4</v>
      </c>
      <c r="B2491" s="1" t="s">
        <v>13</v>
      </c>
      <c r="C2491" t="s">
        <v>10</v>
      </c>
      <c r="D2491" t="s">
        <v>9</v>
      </c>
      <c r="E2491" t="s">
        <v>26</v>
      </c>
    </row>
    <row r="2492" spans="1:5" x14ac:dyDescent="0.3">
      <c r="A2492" t="s">
        <v>4</v>
      </c>
      <c r="B2492" s="1" t="s">
        <v>13</v>
      </c>
      <c r="C2492" t="s">
        <v>12</v>
      </c>
      <c r="D2492" t="s">
        <v>5</v>
      </c>
      <c r="E2492" t="s">
        <v>26</v>
      </c>
    </row>
    <row r="2493" spans="1:5" x14ac:dyDescent="0.3">
      <c r="A2493" t="s">
        <v>4</v>
      </c>
      <c r="B2493" s="1" t="s">
        <v>13</v>
      </c>
      <c r="C2493" t="s">
        <v>12</v>
      </c>
      <c r="D2493" t="s">
        <v>6</v>
      </c>
      <c r="E2493" t="s">
        <v>26</v>
      </c>
    </row>
    <row r="2494" spans="1:5" x14ac:dyDescent="0.3">
      <c r="A2494" t="s">
        <v>4</v>
      </c>
      <c r="B2494" s="1" t="s">
        <v>13</v>
      </c>
      <c r="C2494" t="s">
        <v>11</v>
      </c>
      <c r="D2494" t="s">
        <v>7</v>
      </c>
      <c r="E2494" t="s">
        <v>26</v>
      </c>
    </row>
    <row r="2495" spans="1:5" x14ac:dyDescent="0.3">
      <c r="A2495" t="s">
        <v>4</v>
      </c>
      <c r="B2495" s="1" t="s">
        <v>13</v>
      </c>
      <c r="C2495" t="s">
        <v>12</v>
      </c>
      <c r="D2495" t="s">
        <v>8</v>
      </c>
      <c r="E2495" t="s">
        <v>26</v>
      </c>
    </row>
    <row r="2496" spans="1:5" x14ac:dyDescent="0.3">
      <c r="A2496" t="s">
        <v>4</v>
      </c>
      <c r="B2496" s="1" t="s">
        <v>13</v>
      </c>
      <c r="C2496" t="s">
        <v>10</v>
      </c>
      <c r="D2496" t="s">
        <v>9</v>
      </c>
      <c r="E2496" t="s">
        <v>26</v>
      </c>
    </row>
    <row r="2497" spans="1:5" x14ac:dyDescent="0.3">
      <c r="A2497" t="s">
        <v>4</v>
      </c>
      <c r="B2497" s="1" t="s">
        <v>13</v>
      </c>
      <c r="C2497" t="s">
        <v>12</v>
      </c>
      <c r="D2497" t="s">
        <v>5</v>
      </c>
      <c r="E2497" t="s">
        <v>26</v>
      </c>
    </row>
    <row r="2498" spans="1:5" x14ac:dyDescent="0.3">
      <c r="A2498" t="s">
        <v>4</v>
      </c>
      <c r="B2498" s="1" t="s">
        <v>13</v>
      </c>
      <c r="C2498" t="s">
        <v>12</v>
      </c>
      <c r="D2498" t="s">
        <v>6</v>
      </c>
      <c r="E2498" t="s">
        <v>26</v>
      </c>
    </row>
    <row r="2499" spans="1:5" x14ac:dyDescent="0.3">
      <c r="A2499" t="s">
        <v>4</v>
      </c>
      <c r="B2499" s="1" t="s">
        <v>13</v>
      </c>
      <c r="C2499" t="s">
        <v>10</v>
      </c>
      <c r="D2499" t="s">
        <v>7</v>
      </c>
      <c r="E2499" t="s">
        <v>26</v>
      </c>
    </row>
    <row r="2500" spans="1:5" x14ac:dyDescent="0.3">
      <c r="A2500" t="s">
        <v>4</v>
      </c>
      <c r="B2500" s="1" t="s">
        <v>13</v>
      </c>
      <c r="C2500" t="s">
        <v>12</v>
      </c>
      <c r="D2500" t="s">
        <v>8</v>
      </c>
      <c r="E2500" t="s">
        <v>26</v>
      </c>
    </row>
    <row r="2501" spans="1:5" x14ac:dyDescent="0.3">
      <c r="A2501" t="s">
        <v>4</v>
      </c>
      <c r="B2501" s="1" t="s">
        <v>13</v>
      </c>
      <c r="C2501" t="s">
        <v>10</v>
      </c>
      <c r="D2501" t="s">
        <v>9</v>
      </c>
      <c r="E2501" t="s">
        <v>26</v>
      </c>
    </row>
    <row r="2502" spans="1:5" x14ac:dyDescent="0.3">
      <c r="A2502" t="s">
        <v>4</v>
      </c>
      <c r="B2502" s="1" t="s">
        <v>13</v>
      </c>
      <c r="C2502" t="s">
        <v>12</v>
      </c>
      <c r="D2502" t="s">
        <v>5</v>
      </c>
      <c r="E2502" t="s">
        <v>26</v>
      </c>
    </row>
    <row r="2503" spans="1:5" x14ac:dyDescent="0.3">
      <c r="A2503" t="s">
        <v>4</v>
      </c>
      <c r="B2503" s="1" t="s">
        <v>13</v>
      </c>
      <c r="C2503" t="s">
        <v>12</v>
      </c>
      <c r="D2503" t="s">
        <v>6</v>
      </c>
      <c r="E2503" t="s">
        <v>26</v>
      </c>
    </row>
    <row r="2504" spans="1:5" x14ac:dyDescent="0.3">
      <c r="A2504" t="s">
        <v>4</v>
      </c>
      <c r="B2504" s="1" t="s">
        <v>13</v>
      </c>
      <c r="C2504" t="s">
        <v>12</v>
      </c>
      <c r="D2504" t="s">
        <v>7</v>
      </c>
      <c r="E2504" t="s">
        <v>26</v>
      </c>
    </row>
    <row r="2505" spans="1:5" x14ac:dyDescent="0.3">
      <c r="A2505" t="s">
        <v>4</v>
      </c>
      <c r="B2505" s="1" t="s">
        <v>13</v>
      </c>
      <c r="C2505" t="s">
        <v>11</v>
      </c>
      <c r="D2505" t="s">
        <v>8</v>
      </c>
      <c r="E2505" t="s">
        <v>26</v>
      </c>
    </row>
    <row r="2506" spans="1:5" x14ac:dyDescent="0.3">
      <c r="A2506" t="s">
        <v>4</v>
      </c>
      <c r="B2506" s="1" t="s">
        <v>13</v>
      </c>
      <c r="C2506" t="s">
        <v>10</v>
      </c>
      <c r="D2506" t="s">
        <v>9</v>
      </c>
      <c r="E2506" t="s">
        <v>26</v>
      </c>
    </row>
    <row r="2507" spans="1:5" x14ac:dyDescent="0.3">
      <c r="A2507" t="s">
        <v>4</v>
      </c>
      <c r="B2507" s="1" t="s">
        <v>13</v>
      </c>
      <c r="C2507" t="s">
        <v>12</v>
      </c>
      <c r="D2507" t="s">
        <v>5</v>
      </c>
      <c r="E2507" t="s">
        <v>26</v>
      </c>
    </row>
    <row r="2508" spans="1:5" x14ac:dyDescent="0.3">
      <c r="A2508" t="s">
        <v>4</v>
      </c>
      <c r="B2508" s="1" t="s">
        <v>13</v>
      </c>
      <c r="C2508" t="s">
        <v>12</v>
      </c>
      <c r="D2508" t="s">
        <v>6</v>
      </c>
      <c r="E2508" t="s">
        <v>26</v>
      </c>
    </row>
    <row r="2509" spans="1:5" x14ac:dyDescent="0.3">
      <c r="A2509" t="s">
        <v>4</v>
      </c>
      <c r="B2509" s="1" t="s">
        <v>13</v>
      </c>
      <c r="C2509" t="s">
        <v>12</v>
      </c>
      <c r="D2509" t="s">
        <v>7</v>
      </c>
      <c r="E2509" t="s">
        <v>26</v>
      </c>
    </row>
    <row r="2510" spans="1:5" x14ac:dyDescent="0.3">
      <c r="A2510" t="s">
        <v>4</v>
      </c>
      <c r="B2510" s="1" t="s">
        <v>13</v>
      </c>
      <c r="C2510" t="s">
        <v>12</v>
      </c>
      <c r="D2510" t="s">
        <v>8</v>
      </c>
      <c r="E2510" t="s">
        <v>26</v>
      </c>
    </row>
    <row r="2511" spans="1:5" x14ac:dyDescent="0.3">
      <c r="A2511" t="s">
        <v>4</v>
      </c>
      <c r="B2511" s="1" t="s">
        <v>13</v>
      </c>
      <c r="C2511" t="s">
        <v>10</v>
      </c>
      <c r="D2511" t="s">
        <v>9</v>
      </c>
      <c r="E2511" t="s">
        <v>26</v>
      </c>
    </row>
    <row r="2512" spans="1:5" x14ac:dyDescent="0.3">
      <c r="A2512" t="s">
        <v>4</v>
      </c>
      <c r="B2512" s="1" t="s">
        <v>13</v>
      </c>
      <c r="C2512" t="s">
        <v>12</v>
      </c>
      <c r="D2512" t="s">
        <v>5</v>
      </c>
      <c r="E2512" t="s">
        <v>26</v>
      </c>
    </row>
    <row r="2513" spans="1:5" x14ac:dyDescent="0.3">
      <c r="A2513" t="s">
        <v>4</v>
      </c>
      <c r="B2513" s="1" t="s">
        <v>13</v>
      </c>
      <c r="C2513" t="s">
        <v>12</v>
      </c>
      <c r="D2513" t="s">
        <v>6</v>
      </c>
      <c r="E2513" t="s">
        <v>26</v>
      </c>
    </row>
    <row r="2514" spans="1:5" x14ac:dyDescent="0.3">
      <c r="A2514" t="s">
        <v>4</v>
      </c>
      <c r="B2514" s="1" t="s">
        <v>13</v>
      </c>
      <c r="C2514" t="s">
        <v>12</v>
      </c>
      <c r="D2514" t="s">
        <v>7</v>
      </c>
      <c r="E2514" t="s">
        <v>26</v>
      </c>
    </row>
    <row r="2515" spans="1:5" x14ac:dyDescent="0.3">
      <c r="A2515" t="s">
        <v>4</v>
      </c>
      <c r="B2515" s="1" t="s">
        <v>13</v>
      </c>
      <c r="C2515" t="s">
        <v>10</v>
      </c>
      <c r="D2515" t="s">
        <v>8</v>
      </c>
      <c r="E2515" t="s">
        <v>26</v>
      </c>
    </row>
    <row r="2516" spans="1:5" x14ac:dyDescent="0.3">
      <c r="A2516" t="s">
        <v>4</v>
      </c>
      <c r="B2516" s="1" t="s">
        <v>13</v>
      </c>
      <c r="C2516" t="s">
        <v>10</v>
      </c>
      <c r="D2516" t="s">
        <v>9</v>
      </c>
      <c r="E2516" t="s">
        <v>26</v>
      </c>
    </row>
    <row r="2517" spans="1:5" x14ac:dyDescent="0.3">
      <c r="A2517" t="s">
        <v>4</v>
      </c>
      <c r="B2517" s="1" t="s">
        <v>13</v>
      </c>
      <c r="C2517" t="s">
        <v>12</v>
      </c>
      <c r="D2517" t="s">
        <v>5</v>
      </c>
      <c r="E2517" t="s">
        <v>26</v>
      </c>
    </row>
    <row r="2518" spans="1:5" x14ac:dyDescent="0.3">
      <c r="A2518" t="s">
        <v>4</v>
      </c>
      <c r="B2518" s="1" t="s">
        <v>13</v>
      </c>
      <c r="C2518" t="s">
        <v>12</v>
      </c>
      <c r="D2518" t="s">
        <v>6</v>
      </c>
      <c r="E2518" t="s">
        <v>26</v>
      </c>
    </row>
    <row r="2519" spans="1:5" x14ac:dyDescent="0.3">
      <c r="A2519" t="s">
        <v>4</v>
      </c>
      <c r="B2519" s="1" t="s">
        <v>13</v>
      </c>
      <c r="C2519" t="s">
        <v>12</v>
      </c>
      <c r="D2519" t="s">
        <v>7</v>
      </c>
      <c r="E2519" t="s">
        <v>26</v>
      </c>
    </row>
    <row r="2520" spans="1:5" x14ac:dyDescent="0.3">
      <c r="A2520" t="s">
        <v>4</v>
      </c>
      <c r="B2520" s="1" t="s">
        <v>13</v>
      </c>
      <c r="C2520" t="s">
        <v>10</v>
      </c>
      <c r="D2520" t="s">
        <v>8</v>
      </c>
      <c r="E2520" t="s">
        <v>26</v>
      </c>
    </row>
    <row r="2521" spans="1:5" x14ac:dyDescent="0.3">
      <c r="A2521" t="s">
        <v>4</v>
      </c>
      <c r="B2521" s="1" t="s">
        <v>13</v>
      </c>
      <c r="C2521" t="s">
        <v>10</v>
      </c>
      <c r="D2521" t="s">
        <v>9</v>
      </c>
      <c r="E2521" t="s">
        <v>26</v>
      </c>
    </row>
    <row r="2522" spans="1:5" x14ac:dyDescent="0.3">
      <c r="A2522" t="s">
        <v>4</v>
      </c>
      <c r="B2522" s="1" t="s">
        <v>13</v>
      </c>
      <c r="C2522" t="s">
        <v>12</v>
      </c>
      <c r="D2522" t="s">
        <v>5</v>
      </c>
      <c r="E2522" t="s">
        <v>26</v>
      </c>
    </row>
    <row r="2523" spans="1:5" x14ac:dyDescent="0.3">
      <c r="A2523" t="s">
        <v>4</v>
      </c>
      <c r="B2523" s="1" t="s">
        <v>13</v>
      </c>
      <c r="C2523" t="s">
        <v>12</v>
      </c>
      <c r="D2523" t="s">
        <v>6</v>
      </c>
      <c r="E2523" t="s">
        <v>26</v>
      </c>
    </row>
    <row r="2524" spans="1:5" x14ac:dyDescent="0.3">
      <c r="A2524" t="s">
        <v>4</v>
      </c>
      <c r="B2524" s="1" t="s">
        <v>13</v>
      </c>
      <c r="C2524" t="s">
        <v>11</v>
      </c>
      <c r="D2524" t="s">
        <v>7</v>
      </c>
      <c r="E2524" t="s">
        <v>26</v>
      </c>
    </row>
    <row r="2525" spans="1:5" x14ac:dyDescent="0.3">
      <c r="A2525" t="s">
        <v>4</v>
      </c>
      <c r="B2525" s="1" t="s">
        <v>13</v>
      </c>
      <c r="C2525" t="s">
        <v>12</v>
      </c>
      <c r="D2525" t="s">
        <v>8</v>
      </c>
      <c r="E2525" t="s">
        <v>26</v>
      </c>
    </row>
    <row r="2526" spans="1:5" x14ac:dyDescent="0.3">
      <c r="A2526" t="s">
        <v>4</v>
      </c>
      <c r="B2526" s="1" t="s">
        <v>13</v>
      </c>
      <c r="C2526" t="s">
        <v>10</v>
      </c>
      <c r="D2526" t="s">
        <v>9</v>
      </c>
      <c r="E2526" t="s">
        <v>26</v>
      </c>
    </row>
    <row r="2527" spans="1:5" x14ac:dyDescent="0.3">
      <c r="A2527" t="s">
        <v>4</v>
      </c>
      <c r="B2527" s="1" t="s">
        <v>13</v>
      </c>
      <c r="C2527" t="s">
        <v>12</v>
      </c>
      <c r="D2527" t="s">
        <v>5</v>
      </c>
      <c r="E2527" t="s">
        <v>26</v>
      </c>
    </row>
    <row r="2528" spans="1:5" x14ac:dyDescent="0.3">
      <c r="A2528" t="s">
        <v>4</v>
      </c>
      <c r="B2528" s="1" t="s">
        <v>13</v>
      </c>
      <c r="C2528" t="s">
        <v>10</v>
      </c>
      <c r="D2528" t="s">
        <v>6</v>
      </c>
      <c r="E2528" t="s">
        <v>26</v>
      </c>
    </row>
    <row r="2529" spans="1:5" x14ac:dyDescent="0.3">
      <c r="A2529" t="s">
        <v>4</v>
      </c>
      <c r="B2529" s="1" t="s">
        <v>13</v>
      </c>
      <c r="C2529" t="s">
        <v>12</v>
      </c>
      <c r="D2529" t="s">
        <v>7</v>
      </c>
      <c r="E2529" t="s">
        <v>26</v>
      </c>
    </row>
    <row r="2530" spans="1:5" x14ac:dyDescent="0.3">
      <c r="A2530" t="s">
        <v>4</v>
      </c>
      <c r="B2530" s="1" t="s">
        <v>13</v>
      </c>
      <c r="C2530" t="s">
        <v>12</v>
      </c>
      <c r="D2530" t="s">
        <v>8</v>
      </c>
      <c r="E2530" t="s">
        <v>26</v>
      </c>
    </row>
    <row r="2531" spans="1:5" x14ac:dyDescent="0.3">
      <c r="A2531" t="s">
        <v>4</v>
      </c>
      <c r="B2531" s="1" t="s">
        <v>13</v>
      </c>
      <c r="C2531" t="s">
        <v>10</v>
      </c>
      <c r="D2531" t="s">
        <v>9</v>
      </c>
      <c r="E2531" t="s">
        <v>26</v>
      </c>
    </row>
    <row r="2532" spans="1:5" x14ac:dyDescent="0.3">
      <c r="A2532" t="s">
        <v>4</v>
      </c>
      <c r="B2532" s="1" t="s">
        <v>13</v>
      </c>
      <c r="C2532" t="s">
        <v>12</v>
      </c>
      <c r="D2532" t="s">
        <v>5</v>
      </c>
      <c r="E2532" t="s">
        <v>26</v>
      </c>
    </row>
    <row r="2533" spans="1:5" x14ac:dyDescent="0.3">
      <c r="A2533" t="s">
        <v>4</v>
      </c>
      <c r="B2533" s="1" t="s">
        <v>13</v>
      </c>
      <c r="C2533" t="s">
        <v>12</v>
      </c>
      <c r="D2533" t="s">
        <v>6</v>
      </c>
      <c r="E2533" t="s">
        <v>26</v>
      </c>
    </row>
    <row r="2534" spans="1:5" x14ac:dyDescent="0.3">
      <c r="A2534" t="s">
        <v>4</v>
      </c>
      <c r="B2534" s="1" t="s">
        <v>13</v>
      </c>
      <c r="C2534" t="s">
        <v>11</v>
      </c>
      <c r="D2534" t="s">
        <v>7</v>
      </c>
      <c r="E2534" t="s">
        <v>26</v>
      </c>
    </row>
    <row r="2535" spans="1:5" x14ac:dyDescent="0.3">
      <c r="A2535" t="s">
        <v>4</v>
      </c>
      <c r="B2535" s="1" t="s">
        <v>13</v>
      </c>
      <c r="C2535" t="s">
        <v>11</v>
      </c>
      <c r="D2535" t="s">
        <v>8</v>
      </c>
      <c r="E2535" t="s">
        <v>26</v>
      </c>
    </row>
    <row r="2536" spans="1:5" x14ac:dyDescent="0.3">
      <c r="A2536" t="s">
        <v>4</v>
      </c>
      <c r="B2536" s="1" t="s">
        <v>13</v>
      </c>
      <c r="C2536" t="s">
        <v>10</v>
      </c>
      <c r="D2536" t="s">
        <v>9</v>
      </c>
      <c r="E2536" t="s">
        <v>26</v>
      </c>
    </row>
    <row r="2537" spans="1:5" x14ac:dyDescent="0.3">
      <c r="A2537" t="s">
        <v>4</v>
      </c>
      <c r="B2537" s="1" t="s">
        <v>13</v>
      </c>
      <c r="C2537" t="s">
        <v>12</v>
      </c>
      <c r="D2537" t="s">
        <v>5</v>
      </c>
      <c r="E2537" t="s">
        <v>26</v>
      </c>
    </row>
    <row r="2538" spans="1:5" x14ac:dyDescent="0.3">
      <c r="A2538" t="s">
        <v>4</v>
      </c>
      <c r="B2538" s="1" t="s">
        <v>13</v>
      </c>
      <c r="C2538" t="s">
        <v>12</v>
      </c>
      <c r="D2538" t="s">
        <v>6</v>
      </c>
      <c r="E2538" t="s">
        <v>26</v>
      </c>
    </row>
    <row r="2539" spans="1:5" x14ac:dyDescent="0.3">
      <c r="A2539" t="s">
        <v>4</v>
      </c>
      <c r="B2539" s="1" t="s">
        <v>13</v>
      </c>
      <c r="C2539" t="s">
        <v>11</v>
      </c>
      <c r="D2539" t="s">
        <v>7</v>
      </c>
      <c r="E2539" t="s">
        <v>26</v>
      </c>
    </row>
    <row r="2540" spans="1:5" x14ac:dyDescent="0.3">
      <c r="A2540" t="s">
        <v>4</v>
      </c>
      <c r="B2540" s="1" t="s">
        <v>13</v>
      </c>
      <c r="C2540" t="s">
        <v>11</v>
      </c>
      <c r="D2540" t="s">
        <v>8</v>
      </c>
      <c r="E2540" t="s">
        <v>26</v>
      </c>
    </row>
    <row r="2541" spans="1:5" x14ac:dyDescent="0.3">
      <c r="A2541" t="s">
        <v>4</v>
      </c>
      <c r="B2541" s="1" t="s">
        <v>13</v>
      </c>
      <c r="C2541" t="s">
        <v>10</v>
      </c>
      <c r="D2541" t="s">
        <v>9</v>
      </c>
      <c r="E2541" t="s">
        <v>26</v>
      </c>
    </row>
    <row r="2542" spans="1:5" x14ac:dyDescent="0.3">
      <c r="A2542" t="s">
        <v>4</v>
      </c>
      <c r="B2542" s="1" t="s">
        <v>13</v>
      </c>
      <c r="C2542" t="s">
        <v>12</v>
      </c>
      <c r="D2542" t="s">
        <v>5</v>
      </c>
      <c r="E2542" t="s">
        <v>26</v>
      </c>
    </row>
    <row r="2543" spans="1:5" x14ac:dyDescent="0.3">
      <c r="A2543" t="s">
        <v>4</v>
      </c>
      <c r="B2543" s="1" t="s">
        <v>13</v>
      </c>
      <c r="C2543" t="s">
        <v>12</v>
      </c>
      <c r="D2543" t="s">
        <v>6</v>
      </c>
      <c r="E2543" t="s">
        <v>26</v>
      </c>
    </row>
    <row r="2544" spans="1:5" x14ac:dyDescent="0.3">
      <c r="A2544" t="s">
        <v>4</v>
      </c>
      <c r="B2544" s="1" t="s">
        <v>13</v>
      </c>
      <c r="C2544" t="s">
        <v>12</v>
      </c>
      <c r="D2544" t="s">
        <v>7</v>
      </c>
      <c r="E2544" t="s">
        <v>26</v>
      </c>
    </row>
    <row r="2545" spans="1:5" x14ac:dyDescent="0.3">
      <c r="A2545" t="s">
        <v>4</v>
      </c>
      <c r="B2545" s="1" t="s">
        <v>13</v>
      </c>
      <c r="C2545" t="s">
        <v>12</v>
      </c>
      <c r="D2545" t="s">
        <v>8</v>
      </c>
      <c r="E2545" t="s">
        <v>26</v>
      </c>
    </row>
    <row r="2546" spans="1:5" x14ac:dyDescent="0.3">
      <c r="A2546" t="s">
        <v>4</v>
      </c>
      <c r="B2546" s="1" t="s">
        <v>13</v>
      </c>
      <c r="C2546" t="s">
        <v>10</v>
      </c>
      <c r="D2546" t="s">
        <v>9</v>
      </c>
      <c r="E2546" t="s">
        <v>26</v>
      </c>
    </row>
    <row r="2547" spans="1:5" x14ac:dyDescent="0.3">
      <c r="A2547" t="s">
        <v>4</v>
      </c>
      <c r="B2547" s="1" t="s">
        <v>13</v>
      </c>
      <c r="C2547" t="s">
        <v>12</v>
      </c>
      <c r="D2547" t="s">
        <v>5</v>
      </c>
      <c r="E2547" t="s">
        <v>26</v>
      </c>
    </row>
    <row r="2548" spans="1:5" x14ac:dyDescent="0.3">
      <c r="A2548" t="s">
        <v>4</v>
      </c>
      <c r="B2548" s="1" t="s">
        <v>13</v>
      </c>
      <c r="C2548" t="s">
        <v>12</v>
      </c>
      <c r="D2548" t="s">
        <v>6</v>
      </c>
      <c r="E2548" t="s">
        <v>26</v>
      </c>
    </row>
    <row r="2549" spans="1:5" x14ac:dyDescent="0.3">
      <c r="A2549" t="s">
        <v>4</v>
      </c>
      <c r="B2549" s="1" t="s">
        <v>13</v>
      </c>
      <c r="C2549" t="s">
        <v>12</v>
      </c>
      <c r="D2549" t="s">
        <v>7</v>
      </c>
      <c r="E2549" t="s">
        <v>26</v>
      </c>
    </row>
    <row r="2550" spans="1:5" x14ac:dyDescent="0.3">
      <c r="A2550" t="s">
        <v>4</v>
      </c>
      <c r="B2550" s="1" t="s">
        <v>13</v>
      </c>
      <c r="C2550" t="s">
        <v>11</v>
      </c>
      <c r="D2550" t="s">
        <v>8</v>
      </c>
      <c r="E2550" t="s">
        <v>26</v>
      </c>
    </row>
    <row r="2551" spans="1:5" x14ac:dyDescent="0.3">
      <c r="A2551" t="s">
        <v>4</v>
      </c>
      <c r="B2551" s="1" t="s">
        <v>13</v>
      </c>
      <c r="C2551" t="s">
        <v>10</v>
      </c>
      <c r="D2551" t="s">
        <v>9</v>
      </c>
      <c r="E2551" t="s">
        <v>26</v>
      </c>
    </row>
    <row r="2552" spans="1:5" x14ac:dyDescent="0.3">
      <c r="A2552" t="s">
        <v>4</v>
      </c>
      <c r="B2552" s="1" t="s">
        <v>13</v>
      </c>
      <c r="C2552" t="s">
        <v>12</v>
      </c>
      <c r="D2552" t="s">
        <v>5</v>
      </c>
      <c r="E2552" t="s">
        <v>26</v>
      </c>
    </row>
    <row r="2553" spans="1:5" x14ac:dyDescent="0.3">
      <c r="A2553" t="s">
        <v>4</v>
      </c>
      <c r="B2553" s="1" t="s">
        <v>13</v>
      </c>
      <c r="C2553" t="s">
        <v>12</v>
      </c>
      <c r="D2553" t="s">
        <v>6</v>
      </c>
      <c r="E2553" t="s">
        <v>26</v>
      </c>
    </row>
    <row r="2554" spans="1:5" x14ac:dyDescent="0.3">
      <c r="A2554" t="s">
        <v>4</v>
      </c>
      <c r="B2554" s="1" t="s">
        <v>13</v>
      </c>
      <c r="C2554" t="s">
        <v>12</v>
      </c>
      <c r="D2554" t="s">
        <v>7</v>
      </c>
      <c r="E2554" t="s">
        <v>26</v>
      </c>
    </row>
    <row r="2555" spans="1:5" x14ac:dyDescent="0.3">
      <c r="A2555" t="s">
        <v>4</v>
      </c>
      <c r="B2555" s="1" t="s">
        <v>13</v>
      </c>
      <c r="C2555" t="s">
        <v>12</v>
      </c>
      <c r="D2555" t="s">
        <v>8</v>
      </c>
      <c r="E2555" t="s">
        <v>26</v>
      </c>
    </row>
    <row r="2556" spans="1:5" x14ac:dyDescent="0.3">
      <c r="A2556" t="s">
        <v>4</v>
      </c>
      <c r="B2556" s="1" t="s">
        <v>13</v>
      </c>
      <c r="C2556" t="s">
        <v>10</v>
      </c>
      <c r="D2556" t="s">
        <v>9</v>
      </c>
      <c r="E2556" t="s">
        <v>26</v>
      </c>
    </row>
    <row r="2557" spans="1:5" x14ac:dyDescent="0.3">
      <c r="A2557" t="s">
        <v>4</v>
      </c>
      <c r="B2557" s="1" t="s">
        <v>13</v>
      </c>
      <c r="C2557" t="s">
        <v>12</v>
      </c>
      <c r="D2557" t="s">
        <v>5</v>
      </c>
      <c r="E2557" t="s">
        <v>26</v>
      </c>
    </row>
    <row r="2558" spans="1:5" x14ac:dyDescent="0.3">
      <c r="A2558" t="s">
        <v>4</v>
      </c>
      <c r="B2558" s="1" t="s">
        <v>13</v>
      </c>
      <c r="C2558" t="s">
        <v>12</v>
      </c>
      <c r="D2558" t="s">
        <v>6</v>
      </c>
      <c r="E2558" t="s">
        <v>26</v>
      </c>
    </row>
    <row r="2559" spans="1:5" x14ac:dyDescent="0.3">
      <c r="A2559" t="s">
        <v>4</v>
      </c>
      <c r="B2559" s="1" t="s">
        <v>13</v>
      </c>
      <c r="C2559" t="s">
        <v>12</v>
      </c>
      <c r="D2559" t="s">
        <v>7</v>
      </c>
      <c r="E2559" t="s">
        <v>26</v>
      </c>
    </row>
    <row r="2560" spans="1:5" x14ac:dyDescent="0.3">
      <c r="A2560" t="s">
        <v>4</v>
      </c>
      <c r="B2560" s="1" t="s">
        <v>13</v>
      </c>
      <c r="C2560" t="s">
        <v>12</v>
      </c>
      <c r="D2560" t="s">
        <v>8</v>
      </c>
      <c r="E2560" t="s">
        <v>26</v>
      </c>
    </row>
    <row r="2561" spans="1:5" x14ac:dyDescent="0.3">
      <c r="A2561" t="s">
        <v>4</v>
      </c>
      <c r="B2561" s="1" t="s">
        <v>13</v>
      </c>
      <c r="C2561" t="s">
        <v>10</v>
      </c>
      <c r="D2561" t="s">
        <v>9</v>
      </c>
      <c r="E2561" t="s">
        <v>26</v>
      </c>
    </row>
    <row r="2562" spans="1:5" x14ac:dyDescent="0.3">
      <c r="A2562" t="s">
        <v>4</v>
      </c>
      <c r="B2562" s="1" t="s">
        <v>13</v>
      </c>
      <c r="C2562" t="s">
        <v>12</v>
      </c>
      <c r="D2562" t="s">
        <v>5</v>
      </c>
      <c r="E2562" t="s">
        <v>26</v>
      </c>
    </row>
    <row r="2563" spans="1:5" x14ac:dyDescent="0.3">
      <c r="A2563" t="s">
        <v>4</v>
      </c>
      <c r="B2563" s="1" t="s">
        <v>13</v>
      </c>
      <c r="C2563" t="s">
        <v>12</v>
      </c>
      <c r="D2563" t="s">
        <v>6</v>
      </c>
      <c r="E2563" t="s">
        <v>26</v>
      </c>
    </row>
    <row r="2564" spans="1:5" x14ac:dyDescent="0.3">
      <c r="A2564" t="s">
        <v>4</v>
      </c>
      <c r="B2564" s="1" t="s">
        <v>13</v>
      </c>
      <c r="C2564" t="s">
        <v>12</v>
      </c>
      <c r="D2564" t="s">
        <v>7</v>
      </c>
      <c r="E2564" t="s">
        <v>26</v>
      </c>
    </row>
    <row r="2565" spans="1:5" x14ac:dyDescent="0.3">
      <c r="A2565" t="s">
        <v>4</v>
      </c>
      <c r="B2565" s="1" t="s">
        <v>13</v>
      </c>
      <c r="C2565" t="s">
        <v>10</v>
      </c>
      <c r="D2565" t="s">
        <v>8</v>
      </c>
      <c r="E2565" t="s">
        <v>26</v>
      </c>
    </row>
    <row r="2566" spans="1:5" x14ac:dyDescent="0.3">
      <c r="A2566" t="s">
        <v>4</v>
      </c>
      <c r="B2566" s="1" t="s">
        <v>13</v>
      </c>
      <c r="C2566" t="s">
        <v>10</v>
      </c>
      <c r="D2566" t="s">
        <v>9</v>
      </c>
      <c r="E2566" t="s">
        <v>26</v>
      </c>
    </row>
    <row r="2567" spans="1:5" x14ac:dyDescent="0.3">
      <c r="A2567" t="s">
        <v>4</v>
      </c>
      <c r="B2567" s="1" t="s">
        <v>13</v>
      </c>
      <c r="C2567" t="s">
        <v>12</v>
      </c>
      <c r="D2567" t="s">
        <v>5</v>
      </c>
      <c r="E2567" t="s">
        <v>26</v>
      </c>
    </row>
    <row r="2568" spans="1:5" x14ac:dyDescent="0.3">
      <c r="A2568" t="s">
        <v>4</v>
      </c>
      <c r="B2568" s="1" t="s">
        <v>13</v>
      </c>
      <c r="C2568" t="s">
        <v>12</v>
      </c>
      <c r="D2568" t="s">
        <v>6</v>
      </c>
      <c r="E2568" t="s">
        <v>26</v>
      </c>
    </row>
    <row r="2569" spans="1:5" x14ac:dyDescent="0.3">
      <c r="A2569" t="s">
        <v>4</v>
      </c>
      <c r="B2569" s="1" t="s">
        <v>13</v>
      </c>
      <c r="C2569" t="s">
        <v>12</v>
      </c>
      <c r="D2569" t="s">
        <v>7</v>
      </c>
      <c r="E2569" t="s">
        <v>26</v>
      </c>
    </row>
    <row r="2570" spans="1:5" x14ac:dyDescent="0.3">
      <c r="A2570" t="s">
        <v>4</v>
      </c>
      <c r="B2570" s="1" t="s">
        <v>13</v>
      </c>
      <c r="C2570" t="s">
        <v>12</v>
      </c>
      <c r="D2570" t="s">
        <v>8</v>
      </c>
      <c r="E2570" t="s">
        <v>26</v>
      </c>
    </row>
    <row r="2571" spans="1:5" x14ac:dyDescent="0.3">
      <c r="A2571" t="s">
        <v>4</v>
      </c>
      <c r="B2571" s="1" t="s">
        <v>13</v>
      </c>
      <c r="C2571" t="s">
        <v>10</v>
      </c>
      <c r="D2571" t="s">
        <v>9</v>
      </c>
      <c r="E2571" t="s">
        <v>26</v>
      </c>
    </row>
    <row r="2572" spans="1:5" x14ac:dyDescent="0.3">
      <c r="A2572" t="s">
        <v>4</v>
      </c>
      <c r="B2572" s="1" t="s">
        <v>13</v>
      </c>
      <c r="C2572" t="s">
        <v>12</v>
      </c>
      <c r="D2572" t="s">
        <v>5</v>
      </c>
      <c r="E2572" t="s">
        <v>26</v>
      </c>
    </row>
    <row r="2573" spans="1:5" x14ac:dyDescent="0.3">
      <c r="A2573" t="s">
        <v>4</v>
      </c>
      <c r="B2573" s="1" t="s">
        <v>13</v>
      </c>
      <c r="C2573" t="s">
        <v>12</v>
      </c>
      <c r="D2573" t="s">
        <v>6</v>
      </c>
      <c r="E2573" t="s">
        <v>26</v>
      </c>
    </row>
    <row r="2574" spans="1:5" x14ac:dyDescent="0.3">
      <c r="A2574" t="s">
        <v>4</v>
      </c>
      <c r="B2574" s="1" t="s">
        <v>13</v>
      </c>
      <c r="C2574" t="s">
        <v>12</v>
      </c>
      <c r="D2574" t="s">
        <v>7</v>
      </c>
      <c r="E2574" t="s">
        <v>26</v>
      </c>
    </row>
    <row r="2575" spans="1:5" x14ac:dyDescent="0.3">
      <c r="A2575" t="s">
        <v>4</v>
      </c>
      <c r="B2575" s="1" t="s">
        <v>13</v>
      </c>
      <c r="C2575" t="s">
        <v>12</v>
      </c>
      <c r="D2575" t="s">
        <v>8</v>
      </c>
      <c r="E2575" t="s">
        <v>26</v>
      </c>
    </row>
    <row r="2576" spans="1:5" x14ac:dyDescent="0.3">
      <c r="A2576" t="s">
        <v>4</v>
      </c>
      <c r="B2576" s="1" t="s">
        <v>13</v>
      </c>
      <c r="C2576" t="s">
        <v>10</v>
      </c>
      <c r="D2576" t="s">
        <v>9</v>
      </c>
      <c r="E2576" t="s">
        <v>26</v>
      </c>
    </row>
    <row r="2577" spans="1:5" x14ac:dyDescent="0.3">
      <c r="A2577" t="s">
        <v>4</v>
      </c>
      <c r="B2577" s="1" t="s">
        <v>13</v>
      </c>
      <c r="C2577" t="s">
        <v>12</v>
      </c>
      <c r="D2577" t="s">
        <v>5</v>
      </c>
      <c r="E2577" t="s">
        <v>26</v>
      </c>
    </row>
    <row r="2578" spans="1:5" x14ac:dyDescent="0.3">
      <c r="A2578" t="s">
        <v>4</v>
      </c>
      <c r="B2578" s="1" t="s">
        <v>13</v>
      </c>
      <c r="C2578" t="s">
        <v>12</v>
      </c>
      <c r="D2578" t="s">
        <v>6</v>
      </c>
      <c r="E2578" t="s">
        <v>26</v>
      </c>
    </row>
    <row r="2579" spans="1:5" x14ac:dyDescent="0.3">
      <c r="A2579" t="s">
        <v>4</v>
      </c>
      <c r="B2579" s="1" t="s">
        <v>13</v>
      </c>
      <c r="C2579" t="s">
        <v>11</v>
      </c>
      <c r="D2579" t="s">
        <v>7</v>
      </c>
      <c r="E2579" t="s">
        <v>26</v>
      </c>
    </row>
    <row r="2580" spans="1:5" x14ac:dyDescent="0.3">
      <c r="A2580" t="s">
        <v>4</v>
      </c>
      <c r="B2580" s="1" t="s">
        <v>13</v>
      </c>
      <c r="C2580" t="s">
        <v>10</v>
      </c>
      <c r="D2580" t="s">
        <v>8</v>
      </c>
      <c r="E2580" t="s">
        <v>26</v>
      </c>
    </row>
    <row r="2581" spans="1:5" x14ac:dyDescent="0.3">
      <c r="A2581" t="s">
        <v>4</v>
      </c>
      <c r="B2581" s="1" t="s">
        <v>13</v>
      </c>
      <c r="C2581" t="s">
        <v>10</v>
      </c>
      <c r="D2581" t="s">
        <v>9</v>
      </c>
      <c r="E2581" t="s">
        <v>26</v>
      </c>
    </row>
    <row r="2582" spans="1:5" x14ac:dyDescent="0.3">
      <c r="A2582" t="s">
        <v>4</v>
      </c>
      <c r="B2582" s="1" t="s">
        <v>13</v>
      </c>
      <c r="C2582" t="s">
        <v>12</v>
      </c>
      <c r="D2582" t="s">
        <v>5</v>
      </c>
      <c r="E2582" t="s">
        <v>26</v>
      </c>
    </row>
    <row r="2583" spans="1:5" x14ac:dyDescent="0.3">
      <c r="A2583" t="s">
        <v>4</v>
      </c>
      <c r="B2583" s="1" t="s">
        <v>13</v>
      </c>
      <c r="C2583" t="s">
        <v>12</v>
      </c>
      <c r="D2583" t="s">
        <v>6</v>
      </c>
      <c r="E2583" t="s">
        <v>26</v>
      </c>
    </row>
    <row r="2584" spans="1:5" x14ac:dyDescent="0.3">
      <c r="A2584" t="s">
        <v>4</v>
      </c>
      <c r="B2584" s="1" t="s">
        <v>13</v>
      </c>
      <c r="C2584" t="s">
        <v>11</v>
      </c>
      <c r="D2584" t="s">
        <v>7</v>
      </c>
      <c r="E2584" t="s">
        <v>26</v>
      </c>
    </row>
    <row r="2585" spans="1:5" x14ac:dyDescent="0.3">
      <c r="A2585" t="s">
        <v>4</v>
      </c>
      <c r="B2585" s="1" t="s">
        <v>13</v>
      </c>
      <c r="C2585" t="s">
        <v>12</v>
      </c>
      <c r="D2585" t="s">
        <v>8</v>
      </c>
      <c r="E2585" t="s">
        <v>26</v>
      </c>
    </row>
    <row r="2586" spans="1:5" x14ac:dyDescent="0.3">
      <c r="A2586" t="s">
        <v>4</v>
      </c>
      <c r="B2586" s="1" t="s">
        <v>13</v>
      </c>
      <c r="C2586" t="s">
        <v>10</v>
      </c>
      <c r="D2586" t="s">
        <v>9</v>
      </c>
      <c r="E2586" t="s">
        <v>26</v>
      </c>
    </row>
    <row r="2587" spans="1:5" x14ac:dyDescent="0.3">
      <c r="A2587" t="s">
        <v>4</v>
      </c>
      <c r="B2587" s="1" t="s">
        <v>13</v>
      </c>
      <c r="C2587" t="s">
        <v>12</v>
      </c>
      <c r="D2587" t="s">
        <v>5</v>
      </c>
      <c r="E2587" t="s">
        <v>26</v>
      </c>
    </row>
    <row r="2588" spans="1:5" x14ac:dyDescent="0.3">
      <c r="A2588" t="s">
        <v>4</v>
      </c>
      <c r="B2588" s="1" t="s">
        <v>13</v>
      </c>
      <c r="C2588" t="s">
        <v>12</v>
      </c>
      <c r="D2588" t="s">
        <v>6</v>
      </c>
      <c r="E2588" t="s">
        <v>26</v>
      </c>
    </row>
    <row r="2589" spans="1:5" x14ac:dyDescent="0.3">
      <c r="A2589" t="s">
        <v>4</v>
      </c>
      <c r="B2589" s="1" t="s">
        <v>13</v>
      </c>
      <c r="C2589" t="s">
        <v>10</v>
      </c>
      <c r="D2589" t="s">
        <v>7</v>
      </c>
      <c r="E2589" t="s">
        <v>26</v>
      </c>
    </row>
    <row r="2590" spans="1:5" x14ac:dyDescent="0.3">
      <c r="A2590" t="s">
        <v>4</v>
      </c>
      <c r="B2590" s="1" t="s">
        <v>13</v>
      </c>
      <c r="C2590" t="s">
        <v>12</v>
      </c>
      <c r="D2590" t="s">
        <v>8</v>
      </c>
      <c r="E2590" t="s">
        <v>26</v>
      </c>
    </row>
    <row r="2591" spans="1:5" x14ac:dyDescent="0.3">
      <c r="A2591" t="s">
        <v>4</v>
      </c>
      <c r="B2591" s="1" t="s">
        <v>13</v>
      </c>
      <c r="C2591" t="s">
        <v>10</v>
      </c>
      <c r="D2591" t="s">
        <v>9</v>
      </c>
      <c r="E2591" t="s">
        <v>26</v>
      </c>
    </row>
    <row r="2592" spans="1:5" x14ac:dyDescent="0.3">
      <c r="A2592" t="s">
        <v>4</v>
      </c>
      <c r="B2592" s="1" t="s">
        <v>13</v>
      </c>
      <c r="C2592" t="s">
        <v>12</v>
      </c>
      <c r="D2592" t="s">
        <v>5</v>
      </c>
      <c r="E2592" t="s">
        <v>26</v>
      </c>
    </row>
    <row r="2593" spans="1:5" x14ac:dyDescent="0.3">
      <c r="A2593" t="s">
        <v>4</v>
      </c>
      <c r="B2593" s="1" t="s">
        <v>13</v>
      </c>
      <c r="C2593" t="s">
        <v>12</v>
      </c>
      <c r="D2593" t="s">
        <v>6</v>
      </c>
      <c r="E2593" t="s">
        <v>26</v>
      </c>
    </row>
    <row r="2594" spans="1:5" x14ac:dyDescent="0.3">
      <c r="A2594" t="s">
        <v>4</v>
      </c>
      <c r="B2594" s="1" t="s">
        <v>13</v>
      </c>
      <c r="C2594" t="s">
        <v>12</v>
      </c>
      <c r="D2594" t="s">
        <v>7</v>
      </c>
      <c r="E2594" t="s">
        <v>26</v>
      </c>
    </row>
    <row r="2595" spans="1:5" x14ac:dyDescent="0.3">
      <c r="A2595" t="s">
        <v>4</v>
      </c>
      <c r="B2595" s="1" t="s">
        <v>13</v>
      </c>
      <c r="C2595" t="s">
        <v>12</v>
      </c>
      <c r="D2595" t="s">
        <v>8</v>
      </c>
      <c r="E2595" t="s">
        <v>26</v>
      </c>
    </row>
    <row r="2596" spans="1:5" x14ac:dyDescent="0.3">
      <c r="A2596" t="s">
        <v>4</v>
      </c>
      <c r="B2596" s="1" t="s">
        <v>13</v>
      </c>
      <c r="C2596" t="s">
        <v>10</v>
      </c>
      <c r="D2596" t="s">
        <v>9</v>
      </c>
      <c r="E2596" t="s">
        <v>26</v>
      </c>
    </row>
    <row r="2597" spans="1:5" x14ac:dyDescent="0.3">
      <c r="A2597" t="s">
        <v>4</v>
      </c>
      <c r="B2597" s="1" t="s">
        <v>13</v>
      </c>
      <c r="C2597" t="s">
        <v>12</v>
      </c>
      <c r="D2597" t="s">
        <v>5</v>
      </c>
      <c r="E2597" t="s">
        <v>26</v>
      </c>
    </row>
    <row r="2598" spans="1:5" x14ac:dyDescent="0.3">
      <c r="A2598" t="s">
        <v>4</v>
      </c>
      <c r="B2598" s="1" t="s">
        <v>13</v>
      </c>
      <c r="C2598" t="s">
        <v>12</v>
      </c>
      <c r="D2598" t="s">
        <v>6</v>
      </c>
      <c r="E2598" t="s">
        <v>26</v>
      </c>
    </row>
    <row r="2599" spans="1:5" x14ac:dyDescent="0.3">
      <c r="A2599" t="s">
        <v>4</v>
      </c>
      <c r="B2599" s="1" t="s">
        <v>13</v>
      </c>
      <c r="C2599" t="s">
        <v>12</v>
      </c>
      <c r="D2599" t="s">
        <v>7</v>
      </c>
      <c r="E2599" t="s">
        <v>26</v>
      </c>
    </row>
    <row r="2600" spans="1:5" x14ac:dyDescent="0.3">
      <c r="A2600" t="s">
        <v>4</v>
      </c>
      <c r="B2600" s="1" t="s">
        <v>13</v>
      </c>
      <c r="C2600" t="s">
        <v>12</v>
      </c>
      <c r="D2600" t="s">
        <v>8</v>
      </c>
      <c r="E2600" t="s">
        <v>26</v>
      </c>
    </row>
    <row r="2601" spans="1:5" x14ac:dyDescent="0.3">
      <c r="A2601" t="s">
        <v>4</v>
      </c>
      <c r="B2601" s="1" t="s">
        <v>13</v>
      </c>
      <c r="C2601" t="s">
        <v>10</v>
      </c>
      <c r="D2601" t="s">
        <v>9</v>
      </c>
      <c r="E2601" t="s">
        <v>26</v>
      </c>
    </row>
    <row r="2602" spans="1:5" x14ac:dyDescent="0.3">
      <c r="A2602" t="s">
        <v>4</v>
      </c>
      <c r="B2602" s="1" t="s">
        <v>13</v>
      </c>
      <c r="C2602" t="s">
        <v>12</v>
      </c>
      <c r="D2602" t="s">
        <v>5</v>
      </c>
      <c r="E2602" t="s">
        <v>26</v>
      </c>
    </row>
    <row r="2603" spans="1:5" x14ac:dyDescent="0.3">
      <c r="A2603" t="s">
        <v>4</v>
      </c>
      <c r="B2603" s="1" t="s">
        <v>13</v>
      </c>
      <c r="C2603" t="s">
        <v>12</v>
      </c>
      <c r="D2603" t="s">
        <v>6</v>
      </c>
      <c r="E2603" t="s">
        <v>26</v>
      </c>
    </row>
    <row r="2604" spans="1:5" x14ac:dyDescent="0.3">
      <c r="A2604" t="s">
        <v>4</v>
      </c>
      <c r="B2604" s="1" t="s">
        <v>13</v>
      </c>
      <c r="C2604" t="s">
        <v>12</v>
      </c>
      <c r="D2604" t="s">
        <v>7</v>
      </c>
      <c r="E2604" t="s">
        <v>26</v>
      </c>
    </row>
    <row r="2605" spans="1:5" x14ac:dyDescent="0.3">
      <c r="A2605" t="s">
        <v>4</v>
      </c>
      <c r="B2605" s="1" t="s">
        <v>13</v>
      </c>
      <c r="C2605" t="s">
        <v>12</v>
      </c>
      <c r="D2605" t="s">
        <v>8</v>
      </c>
      <c r="E2605" t="s">
        <v>26</v>
      </c>
    </row>
    <row r="2606" spans="1:5" x14ac:dyDescent="0.3">
      <c r="A2606" t="s">
        <v>4</v>
      </c>
      <c r="B2606" s="1" t="s">
        <v>13</v>
      </c>
      <c r="C2606" t="s">
        <v>10</v>
      </c>
      <c r="D2606" t="s">
        <v>9</v>
      </c>
      <c r="E2606" t="s">
        <v>26</v>
      </c>
    </row>
    <row r="2607" spans="1:5" x14ac:dyDescent="0.3">
      <c r="A2607" t="s">
        <v>4</v>
      </c>
      <c r="B2607" s="1" t="s">
        <v>13</v>
      </c>
      <c r="C2607" t="s">
        <v>12</v>
      </c>
      <c r="D2607" t="s">
        <v>5</v>
      </c>
      <c r="E2607" t="s">
        <v>26</v>
      </c>
    </row>
    <row r="2608" spans="1:5" x14ac:dyDescent="0.3">
      <c r="A2608" t="s">
        <v>4</v>
      </c>
      <c r="B2608" s="1" t="s">
        <v>13</v>
      </c>
      <c r="C2608" t="s">
        <v>12</v>
      </c>
      <c r="D2608" t="s">
        <v>6</v>
      </c>
      <c r="E2608" t="s">
        <v>26</v>
      </c>
    </row>
    <row r="2609" spans="1:5" x14ac:dyDescent="0.3">
      <c r="A2609" t="s">
        <v>4</v>
      </c>
      <c r="B2609" s="1" t="s">
        <v>13</v>
      </c>
      <c r="C2609" t="s">
        <v>12</v>
      </c>
      <c r="D2609" t="s">
        <v>7</v>
      </c>
      <c r="E2609" t="s">
        <v>26</v>
      </c>
    </row>
    <row r="2610" spans="1:5" x14ac:dyDescent="0.3">
      <c r="A2610" t="s">
        <v>4</v>
      </c>
      <c r="B2610" s="1" t="s">
        <v>13</v>
      </c>
      <c r="C2610" t="s">
        <v>12</v>
      </c>
      <c r="D2610" t="s">
        <v>8</v>
      </c>
      <c r="E2610" t="s">
        <v>26</v>
      </c>
    </row>
    <row r="2611" spans="1:5" x14ac:dyDescent="0.3">
      <c r="A2611" t="s">
        <v>4</v>
      </c>
      <c r="B2611" s="1" t="s">
        <v>13</v>
      </c>
      <c r="C2611" t="s">
        <v>10</v>
      </c>
      <c r="D2611" t="s">
        <v>9</v>
      </c>
      <c r="E2611" t="s">
        <v>26</v>
      </c>
    </row>
    <row r="2612" spans="1:5" x14ac:dyDescent="0.3">
      <c r="A2612" t="s">
        <v>4</v>
      </c>
      <c r="B2612" s="1" t="s">
        <v>13</v>
      </c>
      <c r="C2612" t="s">
        <v>12</v>
      </c>
      <c r="D2612" t="s">
        <v>5</v>
      </c>
      <c r="E2612" t="s">
        <v>26</v>
      </c>
    </row>
    <row r="2613" spans="1:5" x14ac:dyDescent="0.3">
      <c r="A2613" t="s">
        <v>4</v>
      </c>
      <c r="B2613" s="1" t="s">
        <v>13</v>
      </c>
      <c r="C2613" t="s">
        <v>12</v>
      </c>
      <c r="D2613" t="s">
        <v>6</v>
      </c>
      <c r="E2613" t="s">
        <v>26</v>
      </c>
    </row>
    <row r="2614" spans="1:5" x14ac:dyDescent="0.3">
      <c r="A2614" t="s">
        <v>4</v>
      </c>
      <c r="B2614" s="1" t="s">
        <v>13</v>
      </c>
      <c r="C2614" t="s">
        <v>12</v>
      </c>
      <c r="D2614" t="s">
        <v>7</v>
      </c>
      <c r="E2614" t="s">
        <v>26</v>
      </c>
    </row>
    <row r="2615" spans="1:5" x14ac:dyDescent="0.3">
      <c r="A2615" t="s">
        <v>4</v>
      </c>
      <c r="B2615" s="1" t="s">
        <v>13</v>
      </c>
      <c r="C2615" t="s">
        <v>12</v>
      </c>
      <c r="D2615" t="s">
        <v>8</v>
      </c>
      <c r="E2615" t="s">
        <v>26</v>
      </c>
    </row>
    <row r="2616" spans="1:5" x14ac:dyDescent="0.3">
      <c r="A2616" t="s">
        <v>4</v>
      </c>
      <c r="B2616" s="1" t="s">
        <v>13</v>
      </c>
      <c r="C2616" t="s">
        <v>10</v>
      </c>
      <c r="D2616" t="s">
        <v>9</v>
      </c>
      <c r="E2616" t="s">
        <v>26</v>
      </c>
    </row>
  </sheetData>
  <phoneticPr fontId="3" type="noConversion"/>
  <hyperlinks>
    <hyperlink ref="B257" r:id="rId1" xr:uid="{3F074A22-51FC-AB43-AF4C-36E20DA2C121}"/>
    <hyperlink ref="B262" r:id="rId2" xr:uid="{DCBF5B77-2DDB-3A49-8F6A-5B5FAE78C879}"/>
    <hyperlink ref="B267" r:id="rId3" xr:uid="{9D2016A8-C497-7741-83E5-E960602D7944}"/>
    <hyperlink ref="B272" r:id="rId4" xr:uid="{9272B4E0-D2B3-DA47-81C3-BFD752959F4A}"/>
    <hyperlink ref="B277" r:id="rId5" xr:uid="{63A8B185-44E3-8E4C-9BCC-C9617B72C284}"/>
    <hyperlink ref="B282" r:id="rId6" xr:uid="{5D68510D-AED2-D74E-A5A0-EF3F7F4B28A7}"/>
    <hyperlink ref="B287" r:id="rId7" xr:uid="{E3AC117D-04F0-D142-94F2-808A6559C942}"/>
    <hyperlink ref="B292" r:id="rId8" xr:uid="{2B105D45-3143-BD44-BE53-64FC5DECC420}"/>
    <hyperlink ref="B297" r:id="rId9" xr:uid="{DAEDE32D-3E26-CF4F-AC30-83910C423EFB}"/>
    <hyperlink ref="B302" r:id="rId10" xr:uid="{53ED7934-4E70-6441-B881-A9D2B160E604}"/>
    <hyperlink ref="B307" r:id="rId11" xr:uid="{B9122CF2-6F7C-7944-B52C-F4B6C68B62B9}"/>
    <hyperlink ref="B312" r:id="rId12" xr:uid="{545BB788-BABA-0745-9B97-E05EBF63AD39}"/>
    <hyperlink ref="B317" r:id="rId13" xr:uid="{0C93F4B0-2BC4-944C-9D75-4AA451DC0EA5}"/>
    <hyperlink ref="B322" r:id="rId14" xr:uid="{743609FA-6F94-5146-8F66-297FC9E616A3}"/>
    <hyperlink ref="B327" r:id="rId15" xr:uid="{B5A1C31D-4C3E-BA46-856C-2078DD83BD0B}"/>
    <hyperlink ref="B332" r:id="rId16" xr:uid="{B0A87399-8B2C-1A45-8716-9AD29AE84083}"/>
    <hyperlink ref="B337" r:id="rId17" xr:uid="{6335CFF7-049D-E345-91A6-EBFA00DE8EDA}"/>
    <hyperlink ref="B342" r:id="rId18" xr:uid="{9EE8C51E-C7C0-3846-9847-294F7077DC2C}"/>
    <hyperlink ref="B347" r:id="rId19" xr:uid="{96C61E2D-0B19-8246-AE21-7E60643EB07F}"/>
    <hyperlink ref="B352" r:id="rId20" xr:uid="{CAC76227-3296-8E4B-B167-9B74091AE264}"/>
    <hyperlink ref="B357" r:id="rId21" xr:uid="{B6595EEE-31FE-D546-B93F-56A9587503A9}"/>
    <hyperlink ref="B362" r:id="rId22" xr:uid="{80D14878-9BFB-F846-9A89-CA54CB3BCE86}"/>
    <hyperlink ref="B367" r:id="rId23" xr:uid="{09E6DE61-DFF0-7E4C-9133-04BCEFA4069A}"/>
    <hyperlink ref="B372" r:id="rId24" xr:uid="{606E9E64-8996-0B46-98CB-108E948F3D22}"/>
    <hyperlink ref="B377" r:id="rId25" xr:uid="{A6212522-AABB-D744-9F16-2E99FC4666A2}"/>
    <hyperlink ref="B382" r:id="rId26" xr:uid="{2EC44F70-3BF9-714A-BE1F-75436693C724}"/>
    <hyperlink ref="B387" r:id="rId27" xr:uid="{5D9F629D-F018-7842-AF95-CF86ED8E0F86}"/>
    <hyperlink ref="B392" r:id="rId28" xr:uid="{D9FC1B9B-E72E-CC48-AFFD-5CBF73A55A75}"/>
    <hyperlink ref="B397" r:id="rId29" xr:uid="{02CD9353-00B7-874F-A625-3F48B6B2380D}"/>
    <hyperlink ref="B402" r:id="rId30" xr:uid="{F8070115-576F-204E-814F-50D6DEFC2FA8}"/>
    <hyperlink ref="B407" r:id="rId31" xr:uid="{FF93ECC1-C393-E742-B96D-A108700FA68C}"/>
    <hyperlink ref="B412" r:id="rId32" xr:uid="{4B645E1D-26E0-1645-AD31-0738DDCED15A}"/>
    <hyperlink ref="B417" r:id="rId33" xr:uid="{85E10A9B-3861-7944-997A-AED1038CF5B0}"/>
    <hyperlink ref="B422" r:id="rId34" xr:uid="{5E8A688E-7625-6B43-918D-1EAC532D71B8}"/>
    <hyperlink ref="B427" r:id="rId35" xr:uid="{C4CC8AFD-4AB8-944A-9FCB-69DDE3B42B08}"/>
    <hyperlink ref="B432" r:id="rId36" xr:uid="{F46758C1-1C7C-1F48-904E-FFDCA0D3D9E3}"/>
    <hyperlink ref="B437" r:id="rId37" xr:uid="{416D8A64-10B6-0F48-AF24-5F969E5C8913}"/>
    <hyperlink ref="B442" r:id="rId38" xr:uid="{8C7D30E4-107C-134F-A348-A9509B5F4998}"/>
    <hyperlink ref="B447" r:id="rId39" xr:uid="{5265D1B2-176B-2E40-8D5D-FE5DFA29B590}"/>
    <hyperlink ref="B452" r:id="rId40" xr:uid="{A4941E81-CB23-D24B-9918-09405E45F847}"/>
    <hyperlink ref="B457" r:id="rId41" xr:uid="{1EF37D3C-ED2D-4642-B041-AFE83FF58D1F}"/>
    <hyperlink ref="B462" r:id="rId42" xr:uid="{B95A1101-854E-F644-8EE6-7066821D667A}"/>
    <hyperlink ref="B467" r:id="rId43" xr:uid="{C7854C44-F1BB-BC4C-83D1-A9D7A4B2B8D3}"/>
    <hyperlink ref="B472" r:id="rId44" xr:uid="{2B6932B2-8B47-A841-A661-48CB04E6123A}"/>
    <hyperlink ref="B477" r:id="rId45" xr:uid="{5125EF51-C23F-454C-B885-83AF0C936B9A}"/>
    <hyperlink ref="B482" r:id="rId46" xr:uid="{04F08EA0-3D0E-454E-A19A-E01B389853B7}"/>
    <hyperlink ref="B487" r:id="rId47" xr:uid="{9EB41A25-6FC5-4E48-B5B1-3BEC9E8C87B9}"/>
    <hyperlink ref="B492" r:id="rId48" xr:uid="{CB74C823-FC56-F64E-A49B-1B6D90921C2E}"/>
    <hyperlink ref="B497" r:id="rId49" xr:uid="{D80F9F55-077F-7640-AA86-C92DC3DB0EEB}"/>
    <hyperlink ref="B502" r:id="rId50" xr:uid="{DCBBF441-2001-9D42-A1FE-3F5DCA299DD2}"/>
    <hyperlink ref="B507" r:id="rId51" xr:uid="{2A035933-77A1-554C-846E-921F5693A05D}"/>
    <hyperlink ref="B512" r:id="rId52" xr:uid="{6888B483-CA41-6B4A-942A-3AF70093344E}"/>
    <hyperlink ref="B517" r:id="rId53" xr:uid="{C1595A71-3A78-9F49-91B9-5979ABB252C5}"/>
    <hyperlink ref="B522" r:id="rId54" xr:uid="{E6A0C1F1-27E8-3740-AC98-3E1DB6FFD565}"/>
    <hyperlink ref="B527" r:id="rId55" xr:uid="{12C42BEA-10DB-664F-B72B-A2778FFA1A6C}"/>
    <hyperlink ref="B532" r:id="rId56" xr:uid="{8CE55547-FDC0-5D4A-B220-B1C80F868622}"/>
    <hyperlink ref="B537" r:id="rId57" xr:uid="{37AC1D70-2514-4249-BFD5-548AC4CCB90A}"/>
    <hyperlink ref="B542" r:id="rId58" xr:uid="{E1DD4F0F-7C56-0E48-B3C7-E11C7B12F047}"/>
    <hyperlink ref="B258" r:id="rId59" xr:uid="{436B8408-5B62-F941-BDC4-FD0B13803DDC}"/>
    <hyperlink ref="B259" r:id="rId60" xr:uid="{E26E9221-15D3-314A-A02E-541F89120822}"/>
    <hyperlink ref="B260" r:id="rId61" xr:uid="{E16D7363-3A4F-3740-B07E-AF39B102EE5B}"/>
    <hyperlink ref="B261" r:id="rId62" xr:uid="{003A1F5B-A364-8D47-8036-38D6A655DA95}"/>
    <hyperlink ref="B263" r:id="rId63" xr:uid="{6E668A53-E256-5A45-BA1E-2D6EB3FCDEE3}"/>
    <hyperlink ref="B264" r:id="rId64" xr:uid="{F4AE80B7-A891-3D43-9F2E-28A35B5F8099}"/>
    <hyperlink ref="B265" r:id="rId65" xr:uid="{C71055CC-644F-DC40-AE6A-3F0E99CFECC6}"/>
    <hyperlink ref="B266" r:id="rId66" xr:uid="{0976FA2A-9FE4-BF42-87FC-286789CCD1C6}"/>
    <hyperlink ref="B268" r:id="rId67" xr:uid="{8A4E3D45-8713-0444-8A36-7A0D4E5BA681}"/>
    <hyperlink ref="B269" r:id="rId68" xr:uid="{25480A59-DB60-FC4D-B40B-23A0243A5168}"/>
    <hyperlink ref="B270" r:id="rId69" xr:uid="{F38A8993-B55E-4449-9A85-CD521F46561C}"/>
    <hyperlink ref="B271" r:id="rId70" xr:uid="{671BF2F3-F583-6940-ACE0-93C63E0AD505}"/>
    <hyperlink ref="B273" r:id="rId71" xr:uid="{711433D5-A26B-F042-AAA8-571B02D435C3}"/>
    <hyperlink ref="B274" r:id="rId72" xr:uid="{3C916D29-BD05-E143-AC23-54B711B8854A}"/>
    <hyperlink ref="B275" r:id="rId73" xr:uid="{76ACD3E4-AD01-6B4A-9DBD-BC7F35C170F3}"/>
    <hyperlink ref="B276" r:id="rId74" xr:uid="{8EA6EB63-C5C2-A943-BE8E-02325B1519A0}"/>
    <hyperlink ref="B278" r:id="rId75" xr:uid="{1C584543-1104-5B47-85A0-D2A4E8D1B225}"/>
    <hyperlink ref="B279" r:id="rId76" xr:uid="{004AFB7A-F776-3242-AC8B-EE4FC9E12B20}"/>
    <hyperlink ref="B280" r:id="rId77" xr:uid="{EA3D441F-0144-214C-857C-E16752F4A7C9}"/>
    <hyperlink ref="B281" r:id="rId78" xr:uid="{46EC8A5A-C3B8-F041-B180-231730E4B72D}"/>
    <hyperlink ref="B283" r:id="rId79" xr:uid="{67DAD042-B0C4-B34E-A653-7CE6762AB544}"/>
    <hyperlink ref="B284" r:id="rId80" xr:uid="{A5D18C17-FA8D-1D47-B4E5-8B0BB357C8B6}"/>
    <hyperlink ref="B285" r:id="rId81" xr:uid="{21AEC405-8FF4-9B41-85E0-2A7D6DF7D470}"/>
    <hyperlink ref="B286" r:id="rId82" xr:uid="{262FDA8C-C149-D745-8194-D132C8CDF249}"/>
    <hyperlink ref="B288" r:id="rId83" xr:uid="{4450B115-F990-8F47-A17E-9BE17943EEEA}"/>
    <hyperlink ref="B289" r:id="rId84" xr:uid="{5CECF5C5-216C-9640-9828-9B4DD6DD1B18}"/>
    <hyperlink ref="B290" r:id="rId85" xr:uid="{673D0CB5-6059-B846-944F-4A7E1B5C830A}"/>
    <hyperlink ref="B291" r:id="rId86" xr:uid="{06862BEF-0A81-CC4D-B6FA-4B3BFF9487A1}"/>
    <hyperlink ref="B293" r:id="rId87" xr:uid="{184461B8-B59E-A34F-AD81-7D112691DE03}"/>
    <hyperlink ref="B294" r:id="rId88" xr:uid="{A6BB5448-7640-F74B-94A2-A1238BAAE38D}"/>
    <hyperlink ref="B295" r:id="rId89" xr:uid="{BDDD2503-CF68-1943-895E-15B0983451AF}"/>
    <hyperlink ref="B296" r:id="rId90" xr:uid="{53B858A5-1F8D-C04D-B73A-47E165F5DB67}"/>
    <hyperlink ref="B298" r:id="rId91" xr:uid="{10B886E2-5979-4744-954C-87FDA9CDED96}"/>
    <hyperlink ref="B299" r:id="rId92" xr:uid="{9624EFEF-8A7C-BE42-ADD4-1DD53C153F72}"/>
    <hyperlink ref="B300" r:id="rId93" xr:uid="{676C4E87-9E29-184E-A7A2-96F106D88FCF}"/>
    <hyperlink ref="B301" r:id="rId94" xr:uid="{ECEBD34F-8509-374E-A127-418E3FACBB82}"/>
    <hyperlink ref="B303" r:id="rId95" xr:uid="{B016A032-425B-6A42-9B22-8DDB3F649FFB}"/>
    <hyperlink ref="B304" r:id="rId96" xr:uid="{6A416893-3D19-864D-AE0D-889304BB765F}"/>
    <hyperlink ref="B305" r:id="rId97" xr:uid="{A707BC8F-F319-A549-A697-276BF49B5D88}"/>
    <hyperlink ref="B306" r:id="rId98" xr:uid="{6F31391D-9521-6A48-8D36-23514D7A40AA}"/>
    <hyperlink ref="B308" r:id="rId99" xr:uid="{8A9AD672-E203-1342-AF07-B841ADC9A2E2}"/>
    <hyperlink ref="B309" r:id="rId100" xr:uid="{5FE41AF1-B05B-C749-B734-7F13BB69A1E1}"/>
    <hyperlink ref="B310" r:id="rId101" xr:uid="{6305A615-59FA-D045-B1A4-FFB09C3E568E}"/>
    <hyperlink ref="B311" r:id="rId102" xr:uid="{13A0F452-C998-9C4A-96DA-56576347CC2C}"/>
    <hyperlink ref="B313" r:id="rId103" xr:uid="{9CD16380-4429-0441-B098-6B4714E246E5}"/>
    <hyperlink ref="B314" r:id="rId104" xr:uid="{DF819AA0-7A21-BB4D-A247-248E32DBEA36}"/>
    <hyperlink ref="B315" r:id="rId105" xr:uid="{391CA948-BF10-1F48-B09C-0743DC29726D}"/>
    <hyperlink ref="B316" r:id="rId106" xr:uid="{E2019A6B-78EE-7B44-8AD1-ADF3F13B0C24}"/>
    <hyperlink ref="B318" r:id="rId107" xr:uid="{49218832-4150-5342-B2EA-0A0EE071CC1F}"/>
    <hyperlink ref="B319" r:id="rId108" xr:uid="{A837B0E5-6709-3E4D-8792-F7AB04F5599C}"/>
    <hyperlink ref="B320" r:id="rId109" xr:uid="{A6F8833A-DB49-9248-8FA5-003E1BF5C1C8}"/>
    <hyperlink ref="B321" r:id="rId110" xr:uid="{16EF9FD0-427E-A84D-A565-BC0D7F851A6D}"/>
    <hyperlink ref="B323" r:id="rId111" xr:uid="{6A0AAB89-F3A2-8641-9888-708F8C0F6725}"/>
    <hyperlink ref="B324" r:id="rId112" xr:uid="{848681B3-D519-A54E-AF33-FC44FCEDAB68}"/>
    <hyperlink ref="B325" r:id="rId113" xr:uid="{B38E07E5-0584-B247-9617-4A19FF92306E}"/>
    <hyperlink ref="B326" r:id="rId114" xr:uid="{04A5DE09-0C86-274C-B799-77A7FE4600C3}"/>
    <hyperlink ref="B328" r:id="rId115" xr:uid="{8F31A017-D1B5-6F44-A8B6-C2C1B0529153}"/>
    <hyperlink ref="B329" r:id="rId116" xr:uid="{60CFEDA0-9CF6-514C-A5D8-80FB3F70EBBB}"/>
    <hyperlink ref="B330" r:id="rId117" xr:uid="{13B5D58B-B419-C64E-B360-4EB0C3A613C6}"/>
    <hyperlink ref="B331" r:id="rId118" xr:uid="{0D0DA541-DBC5-D842-9731-2058470B1658}"/>
    <hyperlink ref="B333" r:id="rId119" xr:uid="{222696B8-1A96-CB48-859A-6B560B5158CB}"/>
    <hyperlink ref="B334" r:id="rId120" xr:uid="{F2D4EF7F-2D35-AB4B-8FBD-1F09ADAA9F36}"/>
    <hyperlink ref="B335" r:id="rId121" xr:uid="{F31B169C-4E03-C54E-89CB-8171DF2258CD}"/>
    <hyperlink ref="B336" r:id="rId122" xr:uid="{A9E25C95-3CA9-954B-893E-02F4335F0B1E}"/>
    <hyperlink ref="B338" r:id="rId123" xr:uid="{43DB8317-BE32-824E-9DAB-B54E85F41B06}"/>
    <hyperlink ref="B339" r:id="rId124" xr:uid="{A445BF58-46F9-AF45-B630-48F9926815A0}"/>
    <hyperlink ref="B340" r:id="rId125" xr:uid="{D9F1908B-257E-1744-95A3-72CBB188BC3F}"/>
    <hyperlink ref="B341" r:id="rId126" xr:uid="{AC2779E5-B3A0-634B-9880-5C29D7B10253}"/>
    <hyperlink ref="B343" r:id="rId127" xr:uid="{4F100C0F-8C63-BF4C-B01F-6AF30ADD1239}"/>
    <hyperlink ref="B344" r:id="rId128" xr:uid="{77E165A1-9806-5543-BA2E-FBD2D6379189}"/>
    <hyperlink ref="B345" r:id="rId129" xr:uid="{C47164FF-E950-8B49-870E-1EEA731199B1}"/>
    <hyperlink ref="B346" r:id="rId130" xr:uid="{8FB80F08-10AE-F643-82C9-F8C881303027}"/>
    <hyperlink ref="B348" r:id="rId131" xr:uid="{F4A3C653-662A-5C47-9558-195CE205B28B}"/>
    <hyperlink ref="B349" r:id="rId132" xr:uid="{BBBF0EFE-2A82-8049-AFE7-38354377BD3D}"/>
    <hyperlink ref="B350" r:id="rId133" xr:uid="{D3D0B611-D402-434F-B92C-4F85395CBAB0}"/>
    <hyperlink ref="B351" r:id="rId134" xr:uid="{D5CBCF00-8140-1640-9EF8-B93F6DE286CB}"/>
    <hyperlink ref="B353" r:id="rId135" xr:uid="{09F21EBC-346D-2941-83C5-2D6BBA41FD24}"/>
    <hyperlink ref="B354" r:id="rId136" xr:uid="{089E940A-BA67-954D-8881-8631EC9D9DAF}"/>
    <hyperlink ref="B355" r:id="rId137" xr:uid="{2FBC4F8F-39B6-FF45-8EB4-7F5045C44E1F}"/>
    <hyperlink ref="B356" r:id="rId138" xr:uid="{65439CF6-ABDB-9C41-A6A0-8B6A86081EF6}"/>
    <hyperlink ref="B358" r:id="rId139" xr:uid="{9FAF8C56-8CAE-2740-820C-A23C999B6A4A}"/>
    <hyperlink ref="B359" r:id="rId140" xr:uid="{0B64D137-ED90-F640-8EFC-9E08B8F6E005}"/>
    <hyperlink ref="B360" r:id="rId141" xr:uid="{D792C87A-105F-C244-951D-0F285DEFE23F}"/>
    <hyperlink ref="B361" r:id="rId142" xr:uid="{F259CCFC-89D6-6543-B672-B58200C5D9BE}"/>
    <hyperlink ref="B363" r:id="rId143" xr:uid="{684A19F2-16BF-324B-8D1E-18E146520E8E}"/>
    <hyperlink ref="B364" r:id="rId144" xr:uid="{C98896E5-54FC-A549-B7B4-149045910891}"/>
    <hyperlink ref="B365" r:id="rId145" xr:uid="{FF79C835-7118-4B46-ACC1-184FA97F20F1}"/>
    <hyperlink ref="B366" r:id="rId146" xr:uid="{8E2113AB-0C74-A64E-B223-29B4C595EA9C}"/>
    <hyperlink ref="B368" r:id="rId147" xr:uid="{C08C7EF8-5456-7842-B079-32C5000CB2FB}"/>
    <hyperlink ref="B369" r:id="rId148" xr:uid="{7407A606-72EB-5C40-921C-52A6899A5280}"/>
    <hyperlink ref="B370" r:id="rId149" xr:uid="{C6F5924F-970B-E540-80DC-D6FAC23266CD}"/>
    <hyperlink ref="B371" r:id="rId150" xr:uid="{9B77A6A4-A984-0646-8BAF-AAA755C78DC3}"/>
    <hyperlink ref="B373" r:id="rId151" xr:uid="{94D90E6A-BB73-ED47-B051-4F010823BD2D}"/>
    <hyperlink ref="B374" r:id="rId152" xr:uid="{3BF3F68A-0A33-F145-9E36-47C3CD3315E5}"/>
    <hyperlink ref="B375" r:id="rId153" xr:uid="{E187D856-F0B5-6B4F-ACF1-D71F4102FF48}"/>
    <hyperlink ref="B376" r:id="rId154" xr:uid="{73301AFF-357D-F649-8490-1B5BD24048CD}"/>
    <hyperlink ref="B378" r:id="rId155" xr:uid="{81BA2D3D-C1E4-6D4F-A7CD-651B9986EBC1}"/>
    <hyperlink ref="B379" r:id="rId156" xr:uid="{1463171C-AF36-5E42-BE77-B5D49CD2FD7D}"/>
    <hyperlink ref="B380" r:id="rId157" xr:uid="{FEEC06FB-00EF-B74A-8530-28A9E70B8A62}"/>
    <hyperlink ref="B381" r:id="rId158" xr:uid="{1E2BE33D-2770-4B45-9E82-0A563A5E4A1A}"/>
    <hyperlink ref="B383" r:id="rId159" xr:uid="{1CC7720D-67BA-654A-9E09-14DCE73D48BF}"/>
    <hyperlink ref="B384" r:id="rId160" xr:uid="{E12A8B79-FF1E-634A-A207-62580515EA19}"/>
    <hyperlink ref="B385" r:id="rId161" xr:uid="{03820DA9-A359-8346-81E4-335CA5446C3D}"/>
    <hyperlink ref="B386" r:id="rId162" xr:uid="{D628E01D-EE4D-8546-8DF8-9369CE8399D0}"/>
    <hyperlink ref="B388" r:id="rId163" xr:uid="{2AC64D96-600C-E447-AA5B-DCECE1E04913}"/>
    <hyperlink ref="B389" r:id="rId164" xr:uid="{C9101922-62B2-D843-90D0-07DA9D703B7E}"/>
    <hyperlink ref="B390" r:id="rId165" xr:uid="{B8767BCE-4C73-0C44-A205-56EC8BAE52E4}"/>
    <hyperlink ref="B391" r:id="rId166" xr:uid="{73A9AFF1-9530-8249-BBB9-C9A91B82978F}"/>
    <hyperlink ref="B393" r:id="rId167" xr:uid="{4F6CA158-3D8E-5347-A88E-C65F8E2614EA}"/>
    <hyperlink ref="B394" r:id="rId168" xr:uid="{86367C55-007E-3F41-92B9-E5FBFE7B7784}"/>
    <hyperlink ref="B395" r:id="rId169" xr:uid="{BFE821D5-4EA5-5643-8CF6-B3AA18928874}"/>
    <hyperlink ref="B396" r:id="rId170" xr:uid="{EED9591A-3334-EB42-A472-DA262B47A463}"/>
    <hyperlink ref="B398" r:id="rId171" xr:uid="{587F27B8-FE43-7B4B-B781-FFB3B23F346E}"/>
    <hyperlink ref="B399" r:id="rId172" xr:uid="{823B6458-8E0D-1D4E-9F96-09A85E1CF66E}"/>
    <hyperlink ref="B400" r:id="rId173" xr:uid="{7F1F5665-EDD0-7D41-95EC-1CAF2AE356EC}"/>
    <hyperlink ref="B401" r:id="rId174" xr:uid="{6ACE14CA-AFEC-BA47-9E11-37B589F97496}"/>
    <hyperlink ref="B403" r:id="rId175" xr:uid="{45CF2B79-8832-AB48-BA00-725F264EE85E}"/>
    <hyperlink ref="B404" r:id="rId176" xr:uid="{696BD71D-9914-9B4A-BE50-DCBCAF9E6C6F}"/>
    <hyperlink ref="B405" r:id="rId177" xr:uid="{ACCBEDBD-01D8-3C4B-9437-E546B7204B67}"/>
    <hyperlink ref="B406" r:id="rId178" xr:uid="{0EF612E6-DB0D-1D44-AB6C-461CEBA1CFEE}"/>
    <hyperlink ref="B408" r:id="rId179" xr:uid="{87523AE8-5026-E741-B417-8C5C19B9DE2F}"/>
    <hyperlink ref="B409" r:id="rId180" xr:uid="{4CE0EDB0-54EA-7342-9235-3E06F6DC3303}"/>
    <hyperlink ref="B410" r:id="rId181" xr:uid="{0BC05AD7-0D75-EB4A-9160-98F72CB8C7FB}"/>
    <hyperlink ref="B411" r:id="rId182" xr:uid="{AFF112F4-2677-5743-928E-473DDC9F118C}"/>
    <hyperlink ref="B413" r:id="rId183" xr:uid="{4CF01358-1AC5-4A4A-B5B3-E7D9B1168525}"/>
    <hyperlink ref="B414" r:id="rId184" xr:uid="{40D19343-E1F1-254C-9871-31A356FB2BCC}"/>
    <hyperlink ref="B415" r:id="rId185" xr:uid="{167FDF77-E80A-FC44-AF5E-E2AE380F6758}"/>
    <hyperlink ref="B416" r:id="rId186" xr:uid="{E4536FBC-E57A-B844-B9B6-F9647909652F}"/>
    <hyperlink ref="B418" r:id="rId187" xr:uid="{D5B316D4-0974-0B44-BC21-66874094DB04}"/>
    <hyperlink ref="B419" r:id="rId188" xr:uid="{EC8B4CCC-C89E-8D4F-9F37-6D0BAE1D8AE2}"/>
    <hyperlink ref="B420" r:id="rId189" xr:uid="{8B85DC27-A394-F047-9E19-259A512E69AF}"/>
    <hyperlink ref="B421" r:id="rId190" xr:uid="{68881477-5B3F-6547-94B5-584749EB7CE3}"/>
    <hyperlink ref="B423" r:id="rId191" xr:uid="{A86C49E7-C948-204A-BEEA-BB0B86F711CA}"/>
    <hyperlink ref="B424" r:id="rId192" xr:uid="{68330CDD-34F0-B24F-BCEA-AA3A441E0AA1}"/>
    <hyperlink ref="B425" r:id="rId193" xr:uid="{32830383-AEA8-E247-AA3C-6325FF550806}"/>
    <hyperlink ref="B426" r:id="rId194" xr:uid="{02E4D6BF-9330-1842-A4AD-F582B8115DC4}"/>
    <hyperlink ref="B428" r:id="rId195" xr:uid="{0601DD42-C54A-9D4D-809D-44C0001631C4}"/>
    <hyperlink ref="B429" r:id="rId196" xr:uid="{E41FB403-4A76-F849-B286-BEA637A0FF73}"/>
    <hyperlink ref="B430" r:id="rId197" xr:uid="{FD777C8F-EB20-6948-8DA4-774116649330}"/>
    <hyperlink ref="B431" r:id="rId198" xr:uid="{C5B974A2-31BC-3F4D-A8C7-25B6F659C8BF}"/>
    <hyperlink ref="B433" r:id="rId199" xr:uid="{D9CA89D3-48E9-8648-96D8-463B12C37674}"/>
    <hyperlink ref="B434" r:id="rId200" xr:uid="{345FD8D3-252C-A94D-9F98-A9CAB48E7EC2}"/>
    <hyperlink ref="B435" r:id="rId201" xr:uid="{116E91B7-4F98-824D-8BA1-05D6D227C052}"/>
    <hyperlink ref="B436" r:id="rId202" xr:uid="{679F5B00-5D30-6E45-9E17-B959C247548C}"/>
    <hyperlink ref="B438" r:id="rId203" xr:uid="{F8A667F5-AB15-C74F-809A-85CAC6B6F96C}"/>
    <hyperlink ref="B439" r:id="rId204" xr:uid="{3A5DEF8E-396C-5544-8F1B-AA4714BA1904}"/>
    <hyperlink ref="B440" r:id="rId205" xr:uid="{9F3F4EAC-962D-504B-B3F7-A169972BD2D9}"/>
    <hyperlink ref="B441" r:id="rId206" xr:uid="{805E05CE-7BA7-7448-9EA7-D6831A8A9F0D}"/>
    <hyperlink ref="B443" r:id="rId207" xr:uid="{0E2EAAE5-A1AE-7B4E-ADFE-A51E4C64C12E}"/>
    <hyperlink ref="B444" r:id="rId208" xr:uid="{B5FF8698-FBA5-964E-9F1D-8E6C6706D190}"/>
    <hyperlink ref="B445" r:id="rId209" xr:uid="{E3280931-CB6A-0049-93A9-D0814F9BDCA0}"/>
    <hyperlink ref="B446" r:id="rId210" xr:uid="{A57D22F4-EB12-E84C-A702-3A566F0E9DFB}"/>
    <hyperlink ref="B448" r:id="rId211" xr:uid="{0C43A57C-4C59-0C40-8A2D-CD5F9F38CA4E}"/>
    <hyperlink ref="B449" r:id="rId212" xr:uid="{20F8849C-15D0-2A4E-B891-64E0C5139B7A}"/>
    <hyperlink ref="B450" r:id="rId213" xr:uid="{1D1E0A5A-940A-9843-A38F-EADD5ED1B025}"/>
    <hyperlink ref="B451" r:id="rId214" xr:uid="{7A666C18-7E1E-EA48-8283-B1592191CA06}"/>
    <hyperlink ref="B453" r:id="rId215" xr:uid="{6F658E7C-7E53-924B-8327-E03DB0BC33C6}"/>
    <hyperlink ref="B454" r:id="rId216" xr:uid="{2208A3A7-440A-034F-9C79-F18921FE9A4F}"/>
    <hyperlink ref="B455" r:id="rId217" xr:uid="{0590C8D5-F41F-B34F-9E6A-B5F16E1FACBB}"/>
    <hyperlink ref="B456" r:id="rId218" xr:uid="{0E222189-72AA-E341-A334-A6B60D44E83F}"/>
    <hyperlink ref="B458" r:id="rId219" xr:uid="{2A1F100F-4EFA-7C49-BCCC-D36FA79F7D3D}"/>
    <hyperlink ref="B459" r:id="rId220" xr:uid="{70D13175-B1FA-FF42-8BA1-5481C7008097}"/>
    <hyperlink ref="B460" r:id="rId221" xr:uid="{7EB3545D-A572-DB4A-8A59-87E6E2CA322D}"/>
    <hyperlink ref="B461" r:id="rId222" xr:uid="{9A026B69-56FA-E34F-92FF-E4FE94A32986}"/>
    <hyperlink ref="B463" r:id="rId223" xr:uid="{BBDBAA91-C061-1547-89B2-35CF1A0AEA09}"/>
    <hyperlink ref="B464" r:id="rId224" xr:uid="{EE0B758A-518F-9C48-8B37-13E24E2CE8D7}"/>
    <hyperlink ref="B465" r:id="rId225" xr:uid="{0F2402A3-4518-B74E-9AA7-3983032BA16A}"/>
    <hyperlink ref="B466" r:id="rId226" xr:uid="{1C4AB0B6-39CB-2344-86F4-2E05E8632CCB}"/>
    <hyperlink ref="B468" r:id="rId227" xr:uid="{F8517794-B09C-E84E-A78C-F2CA1E89C8BF}"/>
    <hyperlink ref="B469" r:id="rId228" xr:uid="{20816692-66AF-1E41-994A-90670146F7A5}"/>
    <hyperlink ref="B470" r:id="rId229" xr:uid="{08409E73-95E0-C347-BCF8-520740A01E3C}"/>
    <hyperlink ref="B471" r:id="rId230" xr:uid="{EA6BE965-C0E3-4E49-8162-BB06E3689F82}"/>
    <hyperlink ref="B473" r:id="rId231" xr:uid="{9B154AF4-12CB-264B-B8A3-AFB568C06EF9}"/>
    <hyperlink ref="B474" r:id="rId232" xr:uid="{B4BBA6D7-9E90-EF4A-BEE2-88593924B2DC}"/>
    <hyperlink ref="B475" r:id="rId233" xr:uid="{E8EF7710-809C-154A-A434-7375226A4C97}"/>
    <hyperlink ref="B476" r:id="rId234" xr:uid="{DD1ADA87-FEF6-0941-9055-0B2045FB6958}"/>
    <hyperlink ref="B478" r:id="rId235" xr:uid="{9CBD3886-E308-4C4C-9115-83571458B600}"/>
    <hyperlink ref="B479" r:id="rId236" xr:uid="{B21D00F3-6B6C-7444-9EED-D446741596EA}"/>
    <hyperlink ref="B480" r:id="rId237" xr:uid="{E2BFA8F3-DBE7-8D42-907B-18FB8A3A47C8}"/>
    <hyperlink ref="B481" r:id="rId238" xr:uid="{D4C33E3B-A223-2045-A5E7-253A9272EFDF}"/>
    <hyperlink ref="B483" r:id="rId239" xr:uid="{E015B87E-9EE6-6B49-981F-D32D0025AFE6}"/>
    <hyperlink ref="B484" r:id="rId240" xr:uid="{F045DEC7-3F19-E544-938F-C24BADCB78D6}"/>
    <hyperlink ref="B485" r:id="rId241" xr:uid="{2405AAA6-C9FD-FE42-97FA-B8553B815A43}"/>
    <hyperlink ref="B486" r:id="rId242" xr:uid="{CDE4875F-F7D6-8A4A-A2F3-4F66818B9DA2}"/>
    <hyperlink ref="B488" r:id="rId243" xr:uid="{0CF07F0C-2C47-4443-A52D-FEE636F54E8D}"/>
    <hyperlink ref="B489" r:id="rId244" xr:uid="{5A1F2E4D-C49E-A043-9C52-FE381E5E4739}"/>
    <hyperlink ref="B490" r:id="rId245" xr:uid="{43830628-AECF-DB43-BA13-38CA4E6695FD}"/>
    <hyperlink ref="B491" r:id="rId246" xr:uid="{40902D7F-76DC-E147-833F-882C7F02141D}"/>
    <hyperlink ref="B493" r:id="rId247" xr:uid="{46AD2F85-AA17-0B4E-BCE6-156A9FC7CCB2}"/>
    <hyperlink ref="B494" r:id="rId248" xr:uid="{A9A1FD8C-B233-7E4E-9BE7-D9926DE5A4FE}"/>
    <hyperlink ref="B495" r:id="rId249" xr:uid="{3CE48BFA-3038-314A-96C8-C55B8323B0E3}"/>
    <hyperlink ref="B496" r:id="rId250" xr:uid="{0B8F1980-7111-8149-86A0-FAC6C29192B0}"/>
    <hyperlink ref="B498" r:id="rId251" xr:uid="{0911915C-BDD2-2C4E-B71A-73C855ECEEE9}"/>
    <hyperlink ref="B499" r:id="rId252" xr:uid="{B0D2DC6D-8161-0141-848E-F3B6B60BAA55}"/>
    <hyperlink ref="B500" r:id="rId253" xr:uid="{91E57B3E-8A1D-9C47-B5B9-FC07C8C0475E}"/>
    <hyperlink ref="B501" r:id="rId254" xr:uid="{CF7A94C4-BF4A-ED4E-A18E-77FA96C24ED6}"/>
    <hyperlink ref="B503" r:id="rId255" xr:uid="{4D194BBA-8168-8942-A02C-19E1EDED44BE}"/>
    <hyperlink ref="B504" r:id="rId256" xr:uid="{1D6E75F4-FE2D-6942-A3F8-7576DEDF63D3}"/>
    <hyperlink ref="B505" r:id="rId257" xr:uid="{75C5362B-07C8-2B4C-B65A-2A33072D1553}"/>
    <hyperlink ref="B506" r:id="rId258" xr:uid="{DF514CF1-353F-DE4E-AE10-C98DD0DD0789}"/>
    <hyperlink ref="B508" r:id="rId259" xr:uid="{B530D941-23E6-724A-8A9B-16F87FC324DC}"/>
    <hyperlink ref="B509" r:id="rId260" xr:uid="{532CA52F-4D02-EB40-BF35-6761911833A1}"/>
    <hyperlink ref="B510" r:id="rId261" xr:uid="{D10A1B77-A7DF-B543-A0BD-B1BEE2043FA1}"/>
    <hyperlink ref="B511" r:id="rId262" xr:uid="{1A2C8027-C3C6-474B-8330-84454FD9AD1E}"/>
    <hyperlink ref="B513" r:id="rId263" xr:uid="{B520627F-A3A7-CE46-9FE6-166CB22963F2}"/>
    <hyperlink ref="B514" r:id="rId264" xr:uid="{80DAF0A0-8782-2A47-A952-DC1E6BF9E551}"/>
    <hyperlink ref="B515" r:id="rId265" xr:uid="{0496F93B-EE64-3842-9B35-2ADA8E6B5939}"/>
    <hyperlink ref="B516" r:id="rId266" xr:uid="{8A0B1BE9-EFC3-4A49-B390-1AA9C0B6CB72}"/>
    <hyperlink ref="B518" r:id="rId267" xr:uid="{D763F520-E801-174E-9BB0-E56534471413}"/>
    <hyperlink ref="B519" r:id="rId268" xr:uid="{67016B74-B643-B049-8FED-3EEC2E8CE9E2}"/>
    <hyperlink ref="B520" r:id="rId269" xr:uid="{5C35B3C9-18EC-934D-810E-D57E5A8A1E1D}"/>
    <hyperlink ref="B521" r:id="rId270" xr:uid="{6A3FB027-669A-BC4C-8ED8-78A535331513}"/>
    <hyperlink ref="B523" r:id="rId271" xr:uid="{4ED341C4-3264-5241-915C-6477FFED5E8F}"/>
    <hyperlink ref="B524" r:id="rId272" xr:uid="{4CB73FEE-DAB5-344C-BE66-DAE0C00C2958}"/>
    <hyperlink ref="B525" r:id="rId273" xr:uid="{DA4A8C3F-0231-2244-BC2B-04C6E040D8C3}"/>
    <hyperlink ref="B526" r:id="rId274" xr:uid="{110E29B5-5553-7145-B60C-6BD7D7500132}"/>
    <hyperlink ref="B528" r:id="rId275" xr:uid="{990018F2-A570-AA4A-8A27-458E7EB8FADD}"/>
    <hyperlink ref="B529" r:id="rId276" xr:uid="{C2347342-A64B-2D46-8BF0-C6E8E8C277A2}"/>
    <hyperlink ref="B530" r:id="rId277" xr:uid="{1F8D0CB2-B75D-8D4C-9ED0-5618B9A9DEC7}"/>
    <hyperlink ref="B531" r:id="rId278" xr:uid="{AA50846F-37FC-0E41-ACC1-CAB8134754CB}"/>
    <hyperlink ref="B533" r:id="rId279" xr:uid="{A996E4F6-1E4D-8D4D-92B4-8DE96A7EF9B7}"/>
    <hyperlink ref="B534" r:id="rId280" xr:uid="{866A2AFC-B834-BE45-BACA-48C63DE52D6C}"/>
    <hyperlink ref="B535" r:id="rId281" xr:uid="{A04940EB-7DFB-5B4D-BD2B-ADC7D1D4EEBB}"/>
    <hyperlink ref="B536" r:id="rId282" xr:uid="{E33F9613-43B2-384D-8479-C44612298E62}"/>
    <hyperlink ref="B538" r:id="rId283" xr:uid="{E659B9B8-2C05-2145-BB4D-C0F95726498E}"/>
    <hyperlink ref="B539" r:id="rId284" xr:uid="{1B57D7AD-FDF6-574E-83E8-B1549F5EAECD}"/>
    <hyperlink ref="B540" r:id="rId285" xr:uid="{4449B308-E296-AF49-BA94-81A1D2D953BA}"/>
    <hyperlink ref="B541" r:id="rId286" xr:uid="{E9028851-AC7B-C144-A4ED-FA1B47BDE85F}"/>
    <hyperlink ref="B543" r:id="rId287" xr:uid="{E54ADE6D-D649-AA4E-9D54-DFBADDD2C4D0}"/>
    <hyperlink ref="B544" r:id="rId288" xr:uid="{16DCD996-6136-9F48-916F-858F3D026010}"/>
    <hyperlink ref="B545" r:id="rId289" xr:uid="{E12464E0-9123-0B4D-8AF2-033876F95C76}"/>
    <hyperlink ref="B546" r:id="rId290" xr:uid="{004C6C62-CC80-DC43-87F7-93A62A3D9242}"/>
    <hyperlink ref="B547" r:id="rId291" xr:uid="{55F833D5-9F59-8A4F-AA29-83ED67E86837}"/>
    <hyperlink ref="B552" r:id="rId292" xr:uid="{C969D331-A0C4-614E-924E-8C41ED25A40E}"/>
    <hyperlink ref="B557" r:id="rId293" xr:uid="{304240B3-4CB3-5841-99FC-964146CE7C31}"/>
    <hyperlink ref="B562" r:id="rId294" xr:uid="{F7120F5E-3624-394E-BDDD-B922F7C1F9B1}"/>
    <hyperlink ref="B567" r:id="rId295" xr:uid="{4B644514-D275-E84E-9224-3800E9A0B485}"/>
    <hyperlink ref="B572" r:id="rId296" xr:uid="{2D07C2F8-EFAA-2A45-BC7A-127690428398}"/>
    <hyperlink ref="B577" r:id="rId297" xr:uid="{2F22FC32-0C07-9749-8B5C-01CD505546E8}"/>
    <hyperlink ref="B582" r:id="rId298" xr:uid="{3E14FB7F-A885-5944-ACD1-840FFDF6137A}"/>
    <hyperlink ref="B587" r:id="rId299" xr:uid="{116FCDC1-AF0B-374F-A1A6-8865052A5AB9}"/>
    <hyperlink ref="B592" r:id="rId300" xr:uid="{94E24B9D-45C8-864E-9E43-A71FA4AD951B}"/>
    <hyperlink ref="B597" r:id="rId301" xr:uid="{05E7CC01-B90C-AA44-8ECF-26032471B8FD}"/>
    <hyperlink ref="B602" r:id="rId302" xr:uid="{C1535261-F7C0-9B4B-8C5B-B1EA07BF92C6}"/>
    <hyperlink ref="B607" r:id="rId303" xr:uid="{B5F2C1A8-B60A-F54A-9909-83D1C84E2E94}"/>
    <hyperlink ref="B612" r:id="rId304" xr:uid="{F38E13C0-FEC1-8C4C-BC71-730CC07FF343}"/>
    <hyperlink ref="B617" r:id="rId305" xr:uid="{E024CF91-D35B-AB47-8D57-38D8F0AEEFD8}"/>
    <hyperlink ref="B622" r:id="rId306" xr:uid="{EBFE5413-2FD4-E94C-9253-8E6C9419BEE8}"/>
    <hyperlink ref="B627" r:id="rId307" xr:uid="{786B9E5A-431A-A042-9D80-8D8886E63F13}"/>
    <hyperlink ref="B632" r:id="rId308" xr:uid="{147C8DDB-259A-714C-A98B-3B12BAD9C183}"/>
    <hyperlink ref="B637" r:id="rId309" xr:uid="{9C7D97BE-0771-9E48-81FC-7B40A0D02931}"/>
    <hyperlink ref="B642" r:id="rId310" xr:uid="{218F6BFA-0FC5-744D-8A53-675F09EA7B59}"/>
    <hyperlink ref="B647" r:id="rId311" xr:uid="{B9C6A07B-2AE0-0943-98B9-150128073C57}"/>
    <hyperlink ref="B652" r:id="rId312" xr:uid="{447864EE-716B-4C43-9C9E-E2F0F770B22E}"/>
    <hyperlink ref="B657" r:id="rId313" xr:uid="{1A835BC6-D5DC-B346-8B00-BA4991462434}"/>
    <hyperlink ref="B662" r:id="rId314" xr:uid="{7B879EE8-5AD1-AF42-A231-75E9D3119B54}"/>
    <hyperlink ref="B667" r:id="rId315" xr:uid="{55FB9109-2CD9-9D4E-8D45-D8A1EA64F3E6}"/>
    <hyperlink ref="B672" r:id="rId316" xr:uid="{A127D4CB-7402-1F43-A86C-3E12B5233374}"/>
    <hyperlink ref="B677" r:id="rId317" xr:uid="{1051EAB2-9029-F241-A1B8-4E83DDC15FA7}"/>
    <hyperlink ref="B682" r:id="rId318" xr:uid="{ED218417-59AE-924A-A8BD-AEF00E9EA9E3}"/>
    <hyperlink ref="B687" r:id="rId319" xr:uid="{229C420A-430C-DD4E-9635-AEA69466682E}"/>
    <hyperlink ref="B692" r:id="rId320" xr:uid="{B51CC708-AD60-9246-B617-082926CB5463}"/>
    <hyperlink ref="B697" r:id="rId321" xr:uid="{3A378170-302A-5246-ADBE-A96B91F4CACD}"/>
    <hyperlink ref="B702" r:id="rId322" xr:uid="{B226639F-9524-0549-BC2B-C018F19E9FEE}"/>
    <hyperlink ref="B707" r:id="rId323" xr:uid="{1C4A6CDB-1B0D-7045-99FF-CD3FA05F3D83}"/>
    <hyperlink ref="B712" r:id="rId324" xr:uid="{47EA7839-E2D0-E141-A981-8869C1FDED8B}"/>
    <hyperlink ref="B717" r:id="rId325" xr:uid="{8D866D3D-CC74-D44F-A971-FF44508A41FF}"/>
    <hyperlink ref="B722" r:id="rId326" xr:uid="{AA0FD236-BDC1-994C-B55D-363ADD89175E}"/>
    <hyperlink ref="B727" r:id="rId327" xr:uid="{FFFB857D-8CE5-C349-8DAB-B8109A1FE036}"/>
    <hyperlink ref="B732" r:id="rId328" xr:uid="{841F3144-2D05-1B43-9CB5-CF1D8A6A42D3}"/>
    <hyperlink ref="B737" r:id="rId329" xr:uid="{6BE01F09-E036-3949-BEA7-4D0BB41C71DD}"/>
    <hyperlink ref="B742" r:id="rId330" xr:uid="{F5ABA059-DA5A-BB4A-A609-92783FE9EA16}"/>
    <hyperlink ref="B747" r:id="rId331" xr:uid="{5914FD60-C73C-6F41-A847-F5EB57AA7EB9}"/>
    <hyperlink ref="B752" r:id="rId332" xr:uid="{4EBA9CBF-E7AC-3C4C-8034-1270F92DFEBE}"/>
    <hyperlink ref="B757" r:id="rId333" xr:uid="{6A5E13E3-A548-694C-BA74-D3456C1686D6}"/>
    <hyperlink ref="B762" r:id="rId334" xr:uid="{833E60CB-3917-E245-ACC0-80E96C8D9348}"/>
    <hyperlink ref="B767" r:id="rId335" xr:uid="{EBA8F1A5-6D40-CE4C-83AC-D5A7D607852E}"/>
    <hyperlink ref="B772" r:id="rId336" xr:uid="{63338FAE-EA96-1C4B-B69B-08D65C7E9DDA}"/>
    <hyperlink ref="B777" r:id="rId337" xr:uid="{7DF7209A-973B-0444-8F5A-2EBD0111EBE5}"/>
    <hyperlink ref="B782" r:id="rId338" xr:uid="{0B2A18AE-BF1E-414E-81A6-03001556B2F9}"/>
    <hyperlink ref="B1067" r:id="rId339" xr:uid="{89101FAC-5419-414E-954A-56315546F1F0}"/>
    <hyperlink ref="B787" r:id="rId340" xr:uid="{82FEBFD8-8FB7-4344-A91F-FD0CBF4B8090}"/>
    <hyperlink ref="B792" r:id="rId341" xr:uid="{F51DB60B-D036-2145-88E2-20F84979DA2A}"/>
    <hyperlink ref="B797" r:id="rId342" xr:uid="{4C40963B-3314-AC4C-9790-992D4DA02129}"/>
    <hyperlink ref="B548" r:id="rId343" xr:uid="{08B8F8E5-9618-4845-9B1C-DB0BC74751AE}"/>
    <hyperlink ref="B549" r:id="rId344" xr:uid="{F7A0453D-C308-A045-B415-3604B19C062E}"/>
    <hyperlink ref="B550" r:id="rId345" xr:uid="{069612BE-373C-7B42-8DA4-1811C71316E1}"/>
    <hyperlink ref="B551" r:id="rId346" xr:uid="{7DFDD3AE-21D8-8D4E-ADC3-58BD2CD2FC95}"/>
    <hyperlink ref="B553" r:id="rId347" xr:uid="{597968F8-73AC-FD43-9B83-8DDB5A8C07B2}"/>
    <hyperlink ref="B554" r:id="rId348" xr:uid="{A254FDD9-DF4E-D940-8F1B-AFDD75AFD360}"/>
    <hyperlink ref="B555" r:id="rId349" xr:uid="{FF3B37B7-460B-2747-BB6D-606BFFE87F52}"/>
    <hyperlink ref="B556" r:id="rId350" xr:uid="{A121B65D-43BC-A443-B51D-B1F89E100B38}"/>
    <hyperlink ref="B558" r:id="rId351" xr:uid="{8340ED76-5348-CA49-8E1F-B256B108CE25}"/>
    <hyperlink ref="B559" r:id="rId352" xr:uid="{6938AB62-14D1-A04F-8225-BDE838C02A46}"/>
    <hyperlink ref="B560" r:id="rId353" xr:uid="{B8823498-2E5A-C54A-8AF1-23E4993D1B7A}"/>
    <hyperlink ref="B561" r:id="rId354" xr:uid="{17FE3722-EA34-6344-BA48-F187656B793B}"/>
    <hyperlink ref="B563" r:id="rId355" xr:uid="{2386E369-13A6-754D-B431-6FCF6A31F563}"/>
    <hyperlink ref="B564" r:id="rId356" xr:uid="{D27148BA-3386-6541-8B54-7C9D2FC81748}"/>
    <hyperlink ref="B565" r:id="rId357" xr:uid="{F602D900-829C-D34D-B18B-CECC5D894560}"/>
    <hyperlink ref="B566" r:id="rId358" xr:uid="{DEF469F3-02A9-0A41-8FD5-A626656FF8BB}"/>
    <hyperlink ref="B568" r:id="rId359" xr:uid="{40EA5CFC-5690-394E-9E4D-DD56D61D1DCA}"/>
    <hyperlink ref="B569" r:id="rId360" xr:uid="{40F9460C-EE7E-1E42-8187-424AEB979AE4}"/>
    <hyperlink ref="B570" r:id="rId361" xr:uid="{108E1E48-1B62-CF46-B537-CD5E691A6BB7}"/>
    <hyperlink ref="B571" r:id="rId362" xr:uid="{A34DD1BA-C646-B64F-A43C-1BB7C6519BCE}"/>
    <hyperlink ref="B573" r:id="rId363" xr:uid="{F215359A-5129-BE40-A4E2-F894ED76D6E0}"/>
    <hyperlink ref="B574" r:id="rId364" xr:uid="{B1152BBA-F004-8C4E-89BD-CF5FFAC80810}"/>
    <hyperlink ref="B575" r:id="rId365" xr:uid="{AE85A07D-7E0F-674A-BC03-9DE168A3E5EE}"/>
    <hyperlink ref="B576" r:id="rId366" xr:uid="{9EB9A3D4-2EED-0F4D-A76B-83728F917020}"/>
    <hyperlink ref="B578" r:id="rId367" xr:uid="{364F66A4-9F7C-9241-92B5-B09D8299570E}"/>
    <hyperlink ref="B579" r:id="rId368" xr:uid="{AA0040D8-9CA4-7049-B69B-DBC4CD128AB4}"/>
    <hyperlink ref="B580" r:id="rId369" xr:uid="{BF7DAEBF-59AE-2843-9E8D-66FE765F2CEE}"/>
    <hyperlink ref="B581" r:id="rId370" xr:uid="{24487D5D-A9EE-8449-AB14-E3A297A58B2C}"/>
    <hyperlink ref="B583" r:id="rId371" xr:uid="{5020EE95-D9A7-D94E-A2A1-3335695A00B9}"/>
    <hyperlink ref="B584" r:id="rId372" xr:uid="{5D2202BB-C824-2D4C-A7EC-3337430B4B34}"/>
    <hyperlink ref="B585" r:id="rId373" xr:uid="{76F4AF21-ACD6-2F49-94EC-7913E439C419}"/>
    <hyperlink ref="B586" r:id="rId374" xr:uid="{4A5BA645-F6E7-2A4F-9E6A-5243AA7A6D0C}"/>
    <hyperlink ref="B588" r:id="rId375" xr:uid="{622C882F-DA8A-6D42-BB25-7B2E0A7B6579}"/>
    <hyperlink ref="B589" r:id="rId376" xr:uid="{0631F53B-08DD-0C41-8AAA-89E1970A835F}"/>
    <hyperlink ref="B590" r:id="rId377" xr:uid="{B05085AA-D10D-A544-890B-C13C77D504AB}"/>
    <hyperlink ref="B591" r:id="rId378" xr:uid="{995EC213-8A88-254C-9B14-18A688C38095}"/>
    <hyperlink ref="B593" r:id="rId379" xr:uid="{2BD79073-A464-2546-A2E4-E1BD784407F9}"/>
    <hyperlink ref="B594" r:id="rId380" xr:uid="{CDE5D375-6B35-E04E-8697-C954E352246F}"/>
    <hyperlink ref="B595" r:id="rId381" xr:uid="{D6AA65E3-B285-FA42-8A14-2364853D8E19}"/>
    <hyperlink ref="B596" r:id="rId382" xr:uid="{31CF89FD-FCE4-9E4C-A155-8F6C9D3146E4}"/>
    <hyperlink ref="B598" r:id="rId383" xr:uid="{0543FA5B-BEDB-0F4F-B0AC-7C5480E5E565}"/>
    <hyperlink ref="B599" r:id="rId384" xr:uid="{6AED290A-753A-2149-9B85-730C76373E35}"/>
    <hyperlink ref="B600" r:id="rId385" xr:uid="{BF1DCF24-A5A0-AA46-A066-50DF90D3CCD7}"/>
    <hyperlink ref="B601" r:id="rId386" xr:uid="{0AEA7C71-1623-2946-9C14-C9477AFE3C4D}"/>
    <hyperlink ref="B603" r:id="rId387" xr:uid="{5D4D6AE7-23B0-7C4C-9953-0A8E6E23EF51}"/>
    <hyperlink ref="B604" r:id="rId388" xr:uid="{4A4DE13F-1034-B142-A5B8-59475F33F2F9}"/>
    <hyperlink ref="B605" r:id="rId389" xr:uid="{70FDEB94-9744-3047-A723-BCEFC7ED5BAA}"/>
    <hyperlink ref="B606" r:id="rId390" xr:uid="{CFC06AC4-C9DD-594F-81DC-9DC1FE7CA80B}"/>
    <hyperlink ref="B608" r:id="rId391" xr:uid="{A694DD54-ABA3-7442-BEE4-89F8A4909E65}"/>
    <hyperlink ref="B609" r:id="rId392" xr:uid="{35C37A90-24C1-2041-9131-476381894CF3}"/>
    <hyperlink ref="B610" r:id="rId393" xr:uid="{82E2A6CE-09A2-324C-B633-1A119171A39E}"/>
    <hyperlink ref="B611" r:id="rId394" xr:uid="{11672C43-AA26-8048-BEB9-2768C6001872}"/>
    <hyperlink ref="B613" r:id="rId395" xr:uid="{8F10408C-5D8A-5A4C-9C55-0785D4DED49C}"/>
    <hyperlink ref="B614" r:id="rId396" xr:uid="{B2901D86-3687-3340-AD84-AAE23AA2799D}"/>
    <hyperlink ref="B615" r:id="rId397" xr:uid="{450CCB82-40B2-294F-BDD5-38FA4AC8EACC}"/>
    <hyperlink ref="B616" r:id="rId398" xr:uid="{A3DD7526-7652-8C4F-B932-D98FED87177B}"/>
    <hyperlink ref="B618" r:id="rId399" xr:uid="{5CE0332C-3553-F84E-91FF-BAB5D5FD2491}"/>
    <hyperlink ref="B619" r:id="rId400" xr:uid="{9E7B5A61-3573-3543-ABF0-C4B1B65C88E4}"/>
    <hyperlink ref="B620" r:id="rId401" xr:uid="{4062BCC6-52F5-C840-9A1A-1497C2CAE4BC}"/>
    <hyperlink ref="B621" r:id="rId402" xr:uid="{9AB17D60-083E-8B45-A72C-C0653EDB6F10}"/>
    <hyperlink ref="B623" r:id="rId403" xr:uid="{A25C1529-1494-F441-A8AB-7467C4F0244E}"/>
    <hyperlink ref="B624" r:id="rId404" xr:uid="{2449AE63-455D-CA41-892A-CB671FC4058F}"/>
    <hyperlink ref="B625" r:id="rId405" xr:uid="{66B774C7-B14E-3B43-987A-8AB29805D092}"/>
    <hyperlink ref="B626" r:id="rId406" xr:uid="{BDB6AE4E-0D71-414D-8DA3-AF7AA96D36B8}"/>
    <hyperlink ref="B628" r:id="rId407" xr:uid="{510F0619-FD29-1F47-A3F8-55C028887687}"/>
    <hyperlink ref="B629" r:id="rId408" xr:uid="{69F899F8-80D2-DD4F-A6F4-FACF9ABAFB92}"/>
    <hyperlink ref="B630" r:id="rId409" xr:uid="{E749839B-D9E1-4848-9D20-274148151058}"/>
    <hyperlink ref="B631" r:id="rId410" xr:uid="{2901770C-3E87-E449-B0E2-241664252968}"/>
    <hyperlink ref="B633" r:id="rId411" xr:uid="{293B90BB-9905-DF4E-9BCF-5AADD43E5FF1}"/>
    <hyperlink ref="B634" r:id="rId412" xr:uid="{FB096117-BDA0-6347-99A1-C683FEA1D797}"/>
    <hyperlink ref="B635" r:id="rId413" xr:uid="{F9E7AB9C-DA4E-1E4A-B551-5632D3F835E0}"/>
    <hyperlink ref="B636" r:id="rId414" xr:uid="{8F165989-AB06-AE46-A82E-6B228ED55625}"/>
    <hyperlink ref="B638" r:id="rId415" xr:uid="{2B174039-4F8E-994B-A8BB-F4304F186C99}"/>
    <hyperlink ref="B639" r:id="rId416" xr:uid="{93C474FE-DC5B-A747-8D8D-D3F058F6B47F}"/>
    <hyperlink ref="B640" r:id="rId417" xr:uid="{E3312DE3-A959-D24E-AB3E-EBC0DEE12D3E}"/>
    <hyperlink ref="B641" r:id="rId418" xr:uid="{1A6B9F5D-DBE3-0149-8280-1720B5D011A5}"/>
    <hyperlink ref="B643" r:id="rId419" xr:uid="{8B785EC5-56C4-2440-A8E5-759F91837F60}"/>
    <hyperlink ref="B644" r:id="rId420" xr:uid="{AD1B20DC-AA92-1D4D-9958-2D23B606CB3E}"/>
    <hyperlink ref="B645" r:id="rId421" xr:uid="{76C2041D-D2B1-7B40-AEB0-1A87288EE7A8}"/>
    <hyperlink ref="B646" r:id="rId422" xr:uid="{5A001D06-2B8A-5146-8635-8CE023FA0F3B}"/>
    <hyperlink ref="B648" r:id="rId423" xr:uid="{CAB158CB-9797-364F-8EB5-A3F65BD211A9}"/>
    <hyperlink ref="B649" r:id="rId424" xr:uid="{2325C53C-5169-154A-8634-63F76F827D6F}"/>
    <hyperlink ref="B650" r:id="rId425" xr:uid="{6903E8C2-AB88-F64C-B6BA-E06AD1FB8901}"/>
    <hyperlink ref="B651" r:id="rId426" xr:uid="{618DE7D4-7A76-F044-9096-EFFFC4497B5F}"/>
    <hyperlink ref="B653" r:id="rId427" xr:uid="{3FC161DD-7DF5-2146-8561-B0FDB3FBB816}"/>
    <hyperlink ref="B654" r:id="rId428" xr:uid="{8933AC83-6F75-FA40-9665-F4A23286B6FF}"/>
    <hyperlink ref="B655" r:id="rId429" xr:uid="{7660677F-512B-0748-80A1-82EF7CBC01CC}"/>
    <hyperlink ref="B656" r:id="rId430" xr:uid="{9C327C5B-B548-5248-8D88-397B59445A86}"/>
    <hyperlink ref="B658" r:id="rId431" xr:uid="{CB6B3F86-E650-BB4F-A625-C83E34521363}"/>
    <hyperlink ref="B659" r:id="rId432" xr:uid="{42C8F094-7BD1-6F40-8120-2C80B1C683F3}"/>
    <hyperlink ref="B660" r:id="rId433" xr:uid="{0D708288-21AB-9640-B8BE-D38AE17A331F}"/>
    <hyperlink ref="B661" r:id="rId434" xr:uid="{FBA250D3-65F4-3C4C-B6AA-A88612097355}"/>
    <hyperlink ref="B663" r:id="rId435" xr:uid="{AFA752D0-A5D0-AC48-BF62-F2DC6ADD0BCC}"/>
    <hyperlink ref="B664" r:id="rId436" xr:uid="{8E254181-5F99-CA42-BC4C-DF49519829B2}"/>
    <hyperlink ref="B665" r:id="rId437" xr:uid="{6C085031-525E-9445-9B37-72D0B4B421B2}"/>
    <hyperlink ref="B666" r:id="rId438" xr:uid="{37163784-854A-9E48-A8FD-A06CAC188AA7}"/>
    <hyperlink ref="B668" r:id="rId439" xr:uid="{8DA619E1-BD18-2244-8A9E-FC140478B09A}"/>
    <hyperlink ref="B669" r:id="rId440" xr:uid="{B3C9A36A-07CF-8E44-B884-5CB2CDBB076B}"/>
    <hyperlink ref="B670" r:id="rId441" xr:uid="{365E234C-8F51-134B-9591-78491F4CA808}"/>
    <hyperlink ref="B671" r:id="rId442" xr:uid="{AD8D3C70-A35A-6345-942A-F98B6ABAA7D9}"/>
    <hyperlink ref="B673" r:id="rId443" xr:uid="{39F0F639-19E7-DE4F-8A6A-DF8022F604D6}"/>
    <hyperlink ref="B674" r:id="rId444" xr:uid="{66C7FC19-F9AF-C745-9DAB-F33B6EB343F2}"/>
    <hyperlink ref="B675" r:id="rId445" xr:uid="{72DFF0BF-4968-9144-973C-E3302CEDE2BC}"/>
    <hyperlink ref="B676" r:id="rId446" xr:uid="{94B62549-1239-814C-AF3B-F0D2B4E1D4D2}"/>
    <hyperlink ref="B678" r:id="rId447" xr:uid="{F7CC3329-C858-D546-95A3-200629B02B49}"/>
    <hyperlink ref="B679" r:id="rId448" xr:uid="{044F6240-8F73-9142-BFF4-F2F471901721}"/>
    <hyperlink ref="B680" r:id="rId449" xr:uid="{72E6154D-03FB-6E4E-B299-BC8DC6A86AA8}"/>
    <hyperlink ref="B681" r:id="rId450" xr:uid="{7E3B6C46-E327-4942-A049-FC4F986B2467}"/>
    <hyperlink ref="B683" r:id="rId451" xr:uid="{081D227C-000A-2C49-B1F4-2561EE7D2EA7}"/>
    <hyperlink ref="B684" r:id="rId452" xr:uid="{252569EB-4AD6-4A4E-A86F-5C6145BD287C}"/>
    <hyperlink ref="B685" r:id="rId453" xr:uid="{F5817A11-8238-7443-90CD-6AA72AED62CE}"/>
    <hyperlink ref="B686" r:id="rId454" xr:uid="{C8C877F1-4F3F-4C41-938D-44537D0A889C}"/>
    <hyperlink ref="B688" r:id="rId455" xr:uid="{4574751D-1439-A64A-BBDE-8B398C27D1D6}"/>
    <hyperlink ref="B689" r:id="rId456" xr:uid="{0C7BE955-89DE-2D4A-A043-B253EC78B848}"/>
    <hyperlink ref="B690" r:id="rId457" xr:uid="{D111DEC3-201A-1649-A345-0E48BCB55A46}"/>
    <hyperlink ref="B691" r:id="rId458" xr:uid="{C7D34A0A-75BB-CE4C-A864-EEC267B9E78A}"/>
    <hyperlink ref="B693" r:id="rId459" xr:uid="{E1A3A266-4E32-2E4E-AF89-6EE02092C28A}"/>
    <hyperlink ref="B694" r:id="rId460" xr:uid="{03B20904-A1ED-DA4D-9ED2-6122A742F73B}"/>
    <hyperlink ref="B695" r:id="rId461" xr:uid="{38A23F73-D3C8-884C-98A0-44A3C3B701A9}"/>
    <hyperlink ref="B696" r:id="rId462" xr:uid="{E2ABD92A-81B1-4642-B8EE-AF308510A924}"/>
    <hyperlink ref="B698" r:id="rId463" xr:uid="{9DCA0947-750C-504F-8EAC-537DE62A2312}"/>
    <hyperlink ref="B699" r:id="rId464" xr:uid="{1735C3A4-0C1B-C441-9ADB-D6E2F1F6D768}"/>
    <hyperlink ref="B700" r:id="rId465" xr:uid="{2F6B8BE4-BFA7-E347-88F3-42D6613D8A64}"/>
    <hyperlink ref="B701" r:id="rId466" xr:uid="{256D33E2-F700-6D43-8BDD-59573C16F05A}"/>
    <hyperlink ref="B703" r:id="rId467" xr:uid="{19BCCF78-F5D5-D346-A161-9B98492D4660}"/>
    <hyperlink ref="B704" r:id="rId468" xr:uid="{9C4E3205-61B1-9C40-B55A-86E14B036935}"/>
    <hyperlink ref="B705" r:id="rId469" xr:uid="{F2EE2C2D-27C9-B14F-8B42-FDB77E955613}"/>
    <hyperlink ref="B706" r:id="rId470" xr:uid="{9C4B80C1-7619-3C44-A6D4-E58080897238}"/>
    <hyperlink ref="B708" r:id="rId471" xr:uid="{A5EF5122-F18D-1143-B22F-F0DF3FE5C984}"/>
    <hyperlink ref="B709" r:id="rId472" xr:uid="{B258DB02-585F-514C-B008-53AF8D01E6C8}"/>
    <hyperlink ref="B710" r:id="rId473" xr:uid="{F02D639A-5E3F-2B49-9674-B48426E0DCD3}"/>
    <hyperlink ref="B711" r:id="rId474" xr:uid="{017E03AE-715D-4544-900D-BFF83B0495C5}"/>
    <hyperlink ref="B713" r:id="rId475" xr:uid="{EF19D3BA-9966-CE46-A2C1-FF9A512455D6}"/>
    <hyperlink ref="B714" r:id="rId476" xr:uid="{CFC81A7D-8CFC-4C46-984A-93167417ED47}"/>
    <hyperlink ref="B715" r:id="rId477" xr:uid="{D51240E2-38D1-6D45-9D4C-58FD503FE691}"/>
    <hyperlink ref="B716" r:id="rId478" xr:uid="{E7A8257E-F803-4343-B0DC-34116A94EC32}"/>
    <hyperlink ref="B718" r:id="rId479" xr:uid="{66D443B1-DF07-5C4E-BFF6-42F8136E868D}"/>
    <hyperlink ref="B719" r:id="rId480" xr:uid="{D4D91A11-960E-D848-8CE7-516F3705DD0E}"/>
    <hyperlink ref="B720" r:id="rId481" xr:uid="{733AA33A-4237-684F-836C-1ABA9EDFD7FF}"/>
    <hyperlink ref="B721" r:id="rId482" xr:uid="{5A5C268F-3346-8141-9F27-74682FBBD048}"/>
    <hyperlink ref="B723" r:id="rId483" xr:uid="{A9D2D5D7-AE32-EC4B-8850-870B29FC9EC8}"/>
    <hyperlink ref="B724" r:id="rId484" xr:uid="{7B118C29-78ED-024E-BDD3-91C9A15A9909}"/>
    <hyperlink ref="B725" r:id="rId485" xr:uid="{8943B0FB-D737-F14F-B4B7-81EA2BE5904D}"/>
    <hyperlink ref="B726" r:id="rId486" xr:uid="{3FE4F5A4-B9D7-E047-A943-356A033F29C6}"/>
    <hyperlink ref="B728" r:id="rId487" xr:uid="{505A3A65-611B-094C-8D3C-13D944170F14}"/>
    <hyperlink ref="B729" r:id="rId488" xr:uid="{9F39E62B-B2AB-D24F-B56B-EE4EEDD6C49A}"/>
    <hyperlink ref="B730" r:id="rId489" xr:uid="{2226B670-3E37-484D-A860-09A9998B4AA6}"/>
    <hyperlink ref="B731" r:id="rId490" xr:uid="{86B7A618-34C1-D943-8BD2-91A6C0C9FE93}"/>
    <hyperlink ref="B733" r:id="rId491" xr:uid="{8E70984A-A1FE-2240-B9FE-40B2BB4E80B0}"/>
    <hyperlink ref="B734" r:id="rId492" xr:uid="{F7D95FC6-4EFD-A949-9651-1088887AF320}"/>
    <hyperlink ref="B735" r:id="rId493" xr:uid="{8E08DC8C-2778-B749-85D4-D31A8D255D08}"/>
    <hyperlink ref="B736" r:id="rId494" xr:uid="{47B3E8B9-9C65-D148-B676-F06F1E875858}"/>
    <hyperlink ref="B738" r:id="rId495" xr:uid="{AB846C02-015A-D140-B6EE-D7CF12C9FC43}"/>
    <hyperlink ref="B739" r:id="rId496" xr:uid="{5D350853-7544-7B42-BA2F-2D8EDC7D25D1}"/>
    <hyperlink ref="B740" r:id="rId497" xr:uid="{AE53BC26-0494-264D-8DB5-C254F4742218}"/>
    <hyperlink ref="B741" r:id="rId498" xr:uid="{52AE5382-A8F9-E341-BB62-59958CFCC9F6}"/>
    <hyperlink ref="B743" r:id="rId499" xr:uid="{AD777C0B-3F8A-7949-95B6-9555976CBCC4}"/>
    <hyperlink ref="B744" r:id="rId500" xr:uid="{4593B844-B619-E347-B4C0-06EA1277E1B8}"/>
    <hyperlink ref="B745" r:id="rId501" xr:uid="{E21A971C-1160-E14C-AED5-628904C33759}"/>
    <hyperlink ref="B746" r:id="rId502" xr:uid="{E7DE113A-F4A2-6547-B06C-30D8D190BAC3}"/>
    <hyperlink ref="B748" r:id="rId503" xr:uid="{23925C74-520D-5848-A6CA-CF30738CD23B}"/>
    <hyperlink ref="B749" r:id="rId504" xr:uid="{6B9F9A0A-309B-244B-A45E-B921D647F462}"/>
    <hyperlink ref="B750" r:id="rId505" xr:uid="{BB8DD033-930D-9945-9D84-DFF5DFED17C5}"/>
    <hyperlink ref="B751" r:id="rId506" xr:uid="{7DAF09D8-DA81-BD4E-8D4A-7A6C499F8790}"/>
    <hyperlink ref="B753" r:id="rId507" xr:uid="{B09A7354-35AF-D948-8069-E3FA21917A59}"/>
    <hyperlink ref="B754" r:id="rId508" xr:uid="{CC6E7F5F-D05F-CB42-BF1B-61C3D2BFC05F}"/>
    <hyperlink ref="B755" r:id="rId509" xr:uid="{43408095-204F-024E-91DB-0231C47D7010}"/>
    <hyperlink ref="B756" r:id="rId510" xr:uid="{580AE9A1-7736-1A49-AE75-5932AB3FA4C2}"/>
    <hyperlink ref="B758" r:id="rId511" xr:uid="{03291F6B-D859-0143-93D8-58ADE31F12BA}"/>
    <hyperlink ref="B759" r:id="rId512" xr:uid="{E5E60638-2954-1649-A02F-A98121DFCD68}"/>
    <hyperlink ref="B760" r:id="rId513" xr:uid="{66CEB3BC-BF2D-CE40-9F9D-C3C1551944B8}"/>
    <hyperlink ref="B761" r:id="rId514" xr:uid="{C8E78D52-4E58-2E4F-800E-FD681B5B706A}"/>
    <hyperlink ref="B763" r:id="rId515" xr:uid="{96CDD4A8-97AE-A442-9340-ABD9252ABC23}"/>
    <hyperlink ref="B764" r:id="rId516" xr:uid="{3B2B02FF-30C7-BC4B-BA43-28A9F0EF00F2}"/>
    <hyperlink ref="B765" r:id="rId517" xr:uid="{8DE6449B-AFF9-6743-A203-7558F9A01684}"/>
    <hyperlink ref="B766" r:id="rId518" xr:uid="{553FD250-7579-184A-A410-00B39072CA88}"/>
    <hyperlink ref="B768" r:id="rId519" xr:uid="{AE3537A5-44FA-2941-912A-18C4CD6A0753}"/>
    <hyperlink ref="B769" r:id="rId520" xr:uid="{598E8FCD-06A5-7548-965C-4EA51961CEFD}"/>
    <hyperlink ref="B770" r:id="rId521" xr:uid="{5DFB1C01-84B5-1F4D-B377-8ACDCE08ABB6}"/>
    <hyperlink ref="B771" r:id="rId522" xr:uid="{ED5B56C7-CEC1-1E4B-9E91-C2224ACC6E36}"/>
    <hyperlink ref="B773" r:id="rId523" xr:uid="{42CC98AC-D45D-C846-B175-9D8AED9EC836}"/>
    <hyperlink ref="B774" r:id="rId524" xr:uid="{AB94DD3E-AAE2-3844-9799-772848620E99}"/>
    <hyperlink ref="B775" r:id="rId525" xr:uid="{A48D7A0D-70AC-2342-ADCD-21D996796838}"/>
    <hyperlink ref="B776" r:id="rId526" xr:uid="{E8043942-329C-2E42-803E-F3EC20C0E28D}"/>
    <hyperlink ref="B778" r:id="rId527" xr:uid="{ED387C45-6A5E-184E-ADDF-E8D353A1B58B}"/>
    <hyperlink ref="B779" r:id="rId528" xr:uid="{69A6D473-39D6-1D4E-8CFE-2082E13FA101}"/>
    <hyperlink ref="B780" r:id="rId529" xr:uid="{2AC08A9F-7DF8-C64E-81D6-EA49A1154802}"/>
    <hyperlink ref="B781" r:id="rId530" xr:uid="{EFE89074-4585-1648-89BD-C8CD900EA6D8}"/>
    <hyperlink ref="B783" r:id="rId531" xr:uid="{E1BF7090-5A15-3D42-903D-00F05BBE7C2F}"/>
    <hyperlink ref="B784" r:id="rId532" xr:uid="{7E93AA9E-DDF4-EE47-AFC0-0D67D505A51F}"/>
    <hyperlink ref="B785" r:id="rId533" xr:uid="{23828EB7-BFF4-1042-866E-3C49C5540703}"/>
    <hyperlink ref="B786" r:id="rId534" xr:uid="{42DB6D29-1D86-004C-A186-43624BA70C73}"/>
    <hyperlink ref="B1068" r:id="rId535" xr:uid="{A224F344-22BB-1941-B7F1-EAD914FF4EFF}"/>
    <hyperlink ref="B1069" r:id="rId536" xr:uid="{71250972-9E70-BD48-82CC-119A5F7C6099}"/>
    <hyperlink ref="B1070" r:id="rId537" xr:uid="{091921D7-3458-1E4A-9B7F-B3B0F0B8A7F6}"/>
    <hyperlink ref="B1071" r:id="rId538" xr:uid="{1E93A920-239D-0C4E-AC44-D7940B2AD2B6}"/>
    <hyperlink ref="B788" r:id="rId539" xr:uid="{9F905795-3091-2141-AE1E-A06C8B25DE30}"/>
    <hyperlink ref="B789" r:id="rId540" xr:uid="{A2F01B6C-3B23-0A49-9E29-4DFB9B0CC788}"/>
    <hyperlink ref="B790" r:id="rId541" xr:uid="{F8FC1603-B131-AB48-BB64-D93A1E56A165}"/>
    <hyperlink ref="B791" r:id="rId542" xr:uid="{4F00456A-F271-AF4B-9726-C22AA932FB51}"/>
    <hyperlink ref="B793" r:id="rId543" xr:uid="{52F388C9-06B8-534C-B4CE-F228B8CA31FA}"/>
    <hyperlink ref="B794" r:id="rId544" xr:uid="{31819D10-6963-1E43-8692-01E62E79711D}"/>
    <hyperlink ref="B795" r:id="rId545" xr:uid="{D8E5A7FD-B3B1-974C-AD7E-EEED149F21FF}"/>
    <hyperlink ref="B796" r:id="rId546" xr:uid="{A1B86735-B873-624E-9FD0-26079C127C50}"/>
    <hyperlink ref="B798" r:id="rId547" xr:uid="{24761C56-B956-DC4F-9BD9-49688A7FF809}"/>
    <hyperlink ref="B799" r:id="rId548" xr:uid="{E1D2954B-28C0-7146-82ED-727F649661E5}"/>
    <hyperlink ref="B800" r:id="rId549" xr:uid="{53C3BE05-00DC-7749-BBA9-771ED100F2C1}"/>
    <hyperlink ref="B801" r:id="rId550" xr:uid="{8D980F86-1C5F-D34E-87B0-BAEA9B95EC71}"/>
    <hyperlink ref="B802" r:id="rId551" xr:uid="{9DDBF9B8-7B7D-6048-82A4-0BC78CB2FAAF}"/>
    <hyperlink ref="B807" r:id="rId552" xr:uid="{FEBEE767-C2A1-F047-B8E9-C0D67D66E09E}"/>
    <hyperlink ref="B812" r:id="rId553" xr:uid="{A44F40A1-D18F-FC40-A552-AD53BCEAAFB7}"/>
    <hyperlink ref="B817" r:id="rId554" xr:uid="{37FA6E3B-112C-D84D-97B0-2C93D14FE620}"/>
    <hyperlink ref="B822" r:id="rId555" xr:uid="{388BC337-7D68-094A-8B46-CECC847F42DA}"/>
    <hyperlink ref="B827" r:id="rId556" xr:uid="{A2979A76-8979-404B-BCF4-0C29EB1DB0AF}"/>
    <hyperlink ref="B832" r:id="rId557" xr:uid="{507CD570-03F5-9D42-B5B7-3BB59BEFF8DA}"/>
    <hyperlink ref="B837" r:id="rId558" xr:uid="{63EE4EA4-6B72-2144-A00A-9B1939707F6C}"/>
    <hyperlink ref="B842" r:id="rId559" xr:uid="{71028F6A-A3D6-494D-8446-C096D14E083C}"/>
    <hyperlink ref="B847" r:id="rId560" xr:uid="{FA68A822-0EAA-FA4F-A981-AC7EFFC3DF3A}"/>
    <hyperlink ref="B852" r:id="rId561" xr:uid="{537AD781-B9DE-AB44-8656-1C93B2C448D0}"/>
    <hyperlink ref="B857" r:id="rId562" xr:uid="{C86CB2C8-89E5-CB48-BE6A-71E3054AD776}"/>
    <hyperlink ref="B862" r:id="rId563" xr:uid="{FC019CC6-C71A-F44C-B590-E59F21653CB4}"/>
    <hyperlink ref="B867" r:id="rId564" xr:uid="{DAE4760D-D7ED-8642-BC9A-C31B258EB342}"/>
    <hyperlink ref="B872" r:id="rId565" xr:uid="{2A285267-284A-3D4E-84A6-1355C90309B8}"/>
    <hyperlink ref="B877" r:id="rId566" xr:uid="{7198C2BF-1142-4F46-A2B7-A525EF5639AF}"/>
    <hyperlink ref="B882" r:id="rId567" xr:uid="{F057A99D-4334-E848-8EEF-C97F7BD7E41D}"/>
    <hyperlink ref="B887" r:id="rId568" xr:uid="{663A1355-CADD-CB43-987C-66C0AADB3B43}"/>
    <hyperlink ref="B892" r:id="rId569" xr:uid="{7CA25376-A8C2-3946-9610-6ECC710DCE09}"/>
    <hyperlink ref="B897" r:id="rId570" xr:uid="{6C5C0275-AC7B-524C-B539-94EB76C1449B}"/>
    <hyperlink ref="B902" r:id="rId571" xr:uid="{BC7243F0-9972-8F41-AB0E-C2E1AB56BAC0}"/>
    <hyperlink ref="B907" r:id="rId572" xr:uid="{D64A1B31-688E-4C49-8CBA-38019ACC8961}"/>
    <hyperlink ref="B912" r:id="rId573" xr:uid="{8B166448-B0F7-EF4C-92AB-BB8D02F74F90}"/>
    <hyperlink ref="B917" r:id="rId574" xr:uid="{3965F1BD-84DE-1344-B384-15906C5CEC23}"/>
    <hyperlink ref="B922" r:id="rId575" xr:uid="{A3BEBE80-12BF-2D4F-9628-5739F6756A1A}"/>
    <hyperlink ref="B927" r:id="rId576" xr:uid="{9CBB7507-7464-4C4B-9FEA-CCF4A5BD96A0}"/>
    <hyperlink ref="B932" r:id="rId577" xr:uid="{C8A7421B-1322-AD47-88AD-DADF1AA32BE1}"/>
    <hyperlink ref="B937" r:id="rId578" xr:uid="{76EAF826-8995-194A-82E6-504DC6A5C329}"/>
    <hyperlink ref="B942" r:id="rId579" xr:uid="{F0DCDE26-7E54-5C4C-8CEA-CDEFA0244E01}"/>
    <hyperlink ref="B947" r:id="rId580" xr:uid="{DA5A813B-74C7-2242-AB11-8318A6E76F99}"/>
    <hyperlink ref="B952" r:id="rId581" xr:uid="{522BA4F7-8A9D-F243-BC84-07695199A407}"/>
    <hyperlink ref="B957" r:id="rId582" xr:uid="{7CB9FDAA-3B8C-B344-929E-DFFE2C3B4AF1}"/>
    <hyperlink ref="B962" r:id="rId583" xr:uid="{BFB46217-9CAA-2C47-9DDB-32701436BB22}"/>
    <hyperlink ref="B967" r:id="rId584" xr:uid="{E0EC0C4E-81B1-7746-8B69-A38FFAAD7991}"/>
    <hyperlink ref="B972" r:id="rId585" xr:uid="{2A312A26-7FE5-1242-B28A-53BF43FFD690}"/>
    <hyperlink ref="B977" r:id="rId586" xr:uid="{ECB6E1AB-B238-764C-93BC-60652ADBC565}"/>
    <hyperlink ref="B982" r:id="rId587" xr:uid="{A095344E-4A15-A945-826B-8EBECBFA03BE}"/>
    <hyperlink ref="B987" r:id="rId588" xr:uid="{54283FD2-E6BB-964A-8E17-28425C66859E}"/>
    <hyperlink ref="B992" r:id="rId589" xr:uid="{846DACB6-856F-F746-A66C-28932C5FE960}"/>
    <hyperlink ref="B997" r:id="rId590" xr:uid="{74574C2E-A9D0-2B4A-892C-5DE9299A2643}"/>
    <hyperlink ref="B1002" r:id="rId591" xr:uid="{34E6B684-AF2D-4D48-B86E-1288B74F61D9}"/>
    <hyperlink ref="B1007" r:id="rId592" xr:uid="{42BEA896-4575-8E47-954B-EB5D101FE2D8}"/>
    <hyperlink ref="B1012" r:id="rId593" xr:uid="{9934B9C6-EF75-3640-BAE0-84AA3D718F10}"/>
    <hyperlink ref="B1017" r:id="rId594" xr:uid="{E968D733-AF3B-A046-BF22-3A954FCBDE42}"/>
    <hyperlink ref="B1022" r:id="rId595" xr:uid="{79803CB3-F47C-0A41-8A45-7930FCBF9117}"/>
    <hyperlink ref="B1027" r:id="rId596" xr:uid="{162139BC-1101-9742-B426-A3166358424F}"/>
    <hyperlink ref="B1032" r:id="rId597" xr:uid="{6381198E-B43F-6D45-8E0B-473A42640D39}"/>
    <hyperlink ref="B1037" r:id="rId598" xr:uid="{F73FC588-994E-B446-9BB8-14BBF89DBE19}"/>
    <hyperlink ref="B1042" r:id="rId599" xr:uid="{251D0297-F8B4-4B40-BFD5-916FC732A5E2}"/>
    <hyperlink ref="B1047" r:id="rId600" xr:uid="{6F3F1FAE-2400-DB4C-B0A7-DF546A342FBD}"/>
    <hyperlink ref="B1052" r:id="rId601" xr:uid="{E01201CE-2599-D644-801C-E4E41A5C28D1}"/>
    <hyperlink ref="B1057" r:id="rId602" xr:uid="{96B1F895-0927-B847-81E0-8F9FE6FCBCAE}"/>
    <hyperlink ref="B803" r:id="rId603" xr:uid="{43054FD1-B16E-E54B-BF9D-DB54B7EBCBD4}"/>
    <hyperlink ref="B804" r:id="rId604" xr:uid="{7FE7527D-CBC1-7D43-9927-286D0709CD06}"/>
    <hyperlink ref="B805" r:id="rId605" xr:uid="{F5B7D2F2-B2FA-ED4F-91D5-5253013626D4}"/>
    <hyperlink ref="B806" r:id="rId606" xr:uid="{AA7BD830-70E6-FE41-8AA4-A887EBFF7307}"/>
    <hyperlink ref="B808" r:id="rId607" xr:uid="{715E990D-40E9-3B46-A099-8A738EFCC212}"/>
    <hyperlink ref="B809" r:id="rId608" xr:uid="{1492796E-6183-0840-A9BC-4707E3C7A605}"/>
    <hyperlink ref="B810" r:id="rId609" xr:uid="{F12A3493-4CED-B74D-B14E-AA0213CB8FBA}"/>
    <hyperlink ref="B811" r:id="rId610" xr:uid="{CD7B7C8A-2313-544D-8EA1-96EDB95484A9}"/>
    <hyperlink ref="B813" r:id="rId611" xr:uid="{CB5FDD99-73D7-5F42-8741-24EDE104D124}"/>
    <hyperlink ref="B814" r:id="rId612" xr:uid="{9A8D8BFE-8BBB-C44F-970A-868CCB462221}"/>
    <hyperlink ref="B815" r:id="rId613" xr:uid="{6DB9C7E7-9902-3D4A-A870-3F13F12D2A14}"/>
    <hyperlink ref="B816" r:id="rId614" xr:uid="{E040742D-F975-FC46-B32C-F06D8F93A796}"/>
    <hyperlink ref="B818" r:id="rId615" xr:uid="{C2E33E2F-AC69-4D4D-9D9F-1F79AA02453F}"/>
    <hyperlink ref="B819" r:id="rId616" xr:uid="{41A66405-F16B-904A-9321-7A704B14DC38}"/>
    <hyperlink ref="B820" r:id="rId617" xr:uid="{930D017B-1B21-DA41-9742-ADFA50615B1E}"/>
    <hyperlink ref="B821" r:id="rId618" xr:uid="{F73C50F9-AC8C-8C4B-A14B-5B7E3C6A9EA2}"/>
    <hyperlink ref="B823" r:id="rId619" xr:uid="{5FFD63E0-1166-3B48-81AF-D0F350ACA0E2}"/>
    <hyperlink ref="B824" r:id="rId620" xr:uid="{C25937F3-E8E4-BD42-AF54-FACC6A798F20}"/>
    <hyperlink ref="B825" r:id="rId621" xr:uid="{91631251-329F-7E4A-8228-531268D94104}"/>
    <hyperlink ref="B826" r:id="rId622" xr:uid="{558130ED-D669-374E-A55D-4F0AE24B2F98}"/>
    <hyperlink ref="B828" r:id="rId623" xr:uid="{1C59A834-81DD-E640-ACA8-5BE53FB27FE4}"/>
    <hyperlink ref="B829" r:id="rId624" xr:uid="{95E496B4-C9D3-C14E-8D80-6C374BD6E4C3}"/>
    <hyperlink ref="B830" r:id="rId625" xr:uid="{F3848C11-AA06-3746-AA77-128AE4987F8A}"/>
    <hyperlink ref="B831" r:id="rId626" xr:uid="{E6E71BD0-9423-E941-B0FB-CB5897591E46}"/>
    <hyperlink ref="B833" r:id="rId627" xr:uid="{66FC656A-367F-E542-902D-C88EBF14DE9C}"/>
    <hyperlink ref="B834" r:id="rId628" xr:uid="{8C04C7AB-A4E4-384E-A334-CF6D81F8246E}"/>
    <hyperlink ref="B835" r:id="rId629" xr:uid="{0C34E2E1-50B3-4D45-B7B4-49009236E156}"/>
    <hyperlink ref="B836" r:id="rId630" xr:uid="{22239F4A-F1FF-554D-AC28-24A5D7BB4090}"/>
    <hyperlink ref="B838" r:id="rId631" xr:uid="{A793F13D-527A-AD42-8BF9-741039E24048}"/>
    <hyperlink ref="B839" r:id="rId632" xr:uid="{3A10E60E-1521-BB40-ADA0-37B5EC8A1F04}"/>
    <hyperlink ref="B840" r:id="rId633" xr:uid="{1C8FCB59-15D3-3947-B066-B91C8CA51F16}"/>
    <hyperlink ref="B841" r:id="rId634" xr:uid="{565E481E-A98B-9142-9CDF-E5018FE15EDF}"/>
    <hyperlink ref="B843" r:id="rId635" xr:uid="{7E79E10D-24CE-6E45-B189-AD8277256F87}"/>
    <hyperlink ref="B844" r:id="rId636" xr:uid="{F7F24ACA-EE40-5A46-AE45-7EB442891072}"/>
    <hyperlink ref="B845" r:id="rId637" xr:uid="{566F3AC2-D84D-3044-B9B1-2715D76500FE}"/>
    <hyperlink ref="B846" r:id="rId638" xr:uid="{0B46335E-B224-B84A-908B-FA3333AC23F1}"/>
    <hyperlink ref="B848" r:id="rId639" xr:uid="{BC8E3B9E-8D5A-4444-908F-EC9863F43A88}"/>
    <hyperlink ref="B849" r:id="rId640" xr:uid="{218D2DBB-7E7D-A647-AD4F-7DBF39F495CA}"/>
    <hyperlink ref="B850" r:id="rId641" xr:uid="{26699A02-05A8-8F43-A9A7-F519DB32EE8B}"/>
    <hyperlink ref="B851" r:id="rId642" xr:uid="{62017679-C3BC-724C-ACD9-938139FA2DA2}"/>
    <hyperlink ref="B853" r:id="rId643" xr:uid="{7BAFEADA-696C-0F4E-9744-FEE0A7EFB4A4}"/>
    <hyperlink ref="B854" r:id="rId644" xr:uid="{C6D827AA-08CB-A24D-BC8B-25C16510ADCC}"/>
    <hyperlink ref="B855" r:id="rId645" xr:uid="{E82B73C4-E05E-9645-A3F4-DD72FB8CC16E}"/>
    <hyperlink ref="B856" r:id="rId646" xr:uid="{DE5C5AE1-D196-F145-B231-D5381FC9A017}"/>
    <hyperlink ref="B858" r:id="rId647" xr:uid="{30F5FB57-7A33-B149-A8FB-833977824C6A}"/>
    <hyperlink ref="B859" r:id="rId648" xr:uid="{6C73AA49-7CBC-5D4A-B491-610526A4CC4B}"/>
    <hyperlink ref="B860" r:id="rId649" xr:uid="{AFA0C43D-60C2-0240-83F0-62D2BC4A1255}"/>
    <hyperlink ref="B861" r:id="rId650" xr:uid="{5F351990-E690-4144-A2CA-B171A150646D}"/>
    <hyperlink ref="B863" r:id="rId651" xr:uid="{D621EE71-0FE0-3748-BDC4-6152398D07C6}"/>
    <hyperlink ref="B864" r:id="rId652" xr:uid="{D99A067A-B174-5845-B917-46AA844C933D}"/>
    <hyperlink ref="B865" r:id="rId653" xr:uid="{9A6EB2F3-F9DE-6644-A5EE-96904C42875F}"/>
    <hyperlink ref="B866" r:id="rId654" xr:uid="{FF866DD3-68B6-B249-831E-2A93FFDEAD5D}"/>
    <hyperlink ref="B868" r:id="rId655" xr:uid="{CBD2378D-80BF-D743-B479-F112DFF67EC5}"/>
    <hyperlink ref="B869" r:id="rId656" xr:uid="{8FD831BE-3D3A-E84D-B988-69267CE0DBCC}"/>
    <hyperlink ref="B870" r:id="rId657" xr:uid="{06C05E21-163B-9446-9469-FF9E87FEE35D}"/>
    <hyperlink ref="B871" r:id="rId658" xr:uid="{6BE05FCF-429D-A749-925A-284742FD5D8C}"/>
    <hyperlink ref="B873" r:id="rId659" xr:uid="{3F360DE5-3B8E-D649-9D62-17049AE3CFFD}"/>
    <hyperlink ref="B874" r:id="rId660" xr:uid="{D4DEDE0F-CC88-454F-90F1-D9047A69D747}"/>
    <hyperlink ref="B875" r:id="rId661" xr:uid="{A458DE66-FE52-8243-A258-E2D400113DE9}"/>
    <hyperlink ref="B876" r:id="rId662" xr:uid="{2A324DD4-E566-F248-9927-B6FB7AFE09EA}"/>
    <hyperlink ref="B878" r:id="rId663" xr:uid="{18477D08-84E9-1B45-8CE0-9D5F7EBFB894}"/>
    <hyperlink ref="B879" r:id="rId664" xr:uid="{DE9E0165-5598-4744-8925-2B47B2A9EE8D}"/>
    <hyperlink ref="B880" r:id="rId665" xr:uid="{65D0AA8B-55C0-C242-9EB0-7CA463D0F708}"/>
    <hyperlink ref="B881" r:id="rId666" xr:uid="{166417A6-C1DF-E741-9AFA-3D62F523D3F8}"/>
    <hyperlink ref="B883" r:id="rId667" xr:uid="{977BC8B6-73AD-384A-8214-B65BEEF15256}"/>
    <hyperlink ref="B884" r:id="rId668" xr:uid="{0196BC2F-3C18-5942-8F9F-C6595C32859A}"/>
    <hyperlink ref="B885" r:id="rId669" xr:uid="{E7B2FD81-A14E-6246-93B3-E05D08AE5437}"/>
    <hyperlink ref="B886" r:id="rId670" xr:uid="{9AC6D426-038F-AF44-81CD-2CF0ED67D540}"/>
    <hyperlink ref="B888" r:id="rId671" xr:uid="{8F22FB7E-2D33-D742-B7A9-1C54C89048AD}"/>
    <hyperlink ref="B889" r:id="rId672" xr:uid="{6221864B-65CA-574A-BE7D-023F499ADCAF}"/>
    <hyperlink ref="B890" r:id="rId673" xr:uid="{182829FD-7C52-1E4E-80E2-C65251BCDA07}"/>
    <hyperlink ref="B891" r:id="rId674" xr:uid="{C3733B56-B1DB-F44E-A491-65977E1D29FC}"/>
    <hyperlink ref="B893" r:id="rId675" xr:uid="{9170C7C1-4078-F140-892F-404594ED5C81}"/>
    <hyperlink ref="B894" r:id="rId676" xr:uid="{44697158-1902-A44D-842C-B552B65BA8C0}"/>
    <hyperlink ref="B895" r:id="rId677" xr:uid="{6F4A2BDE-C3D6-6244-91BC-B8DA5227D989}"/>
    <hyperlink ref="B896" r:id="rId678" xr:uid="{A3D14D5A-5A0C-F040-BDC4-E450AB04E031}"/>
    <hyperlink ref="B898" r:id="rId679" xr:uid="{3A027638-7C23-F949-AF94-90AE43B2E08A}"/>
    <hyperlink ref="B899" r:id="rId680" xr:uid="{B07443FA-7E26-B34C-AD41-4CDD8BCB4D38}"/>
    <hyperlink ref="B900" r:id="rId681" xr:uid="{EF3F44E0-A5B0-0841-BDE0-E83748D4E4FB}"/>
    <hyperlink ref="B901" r:id="rId682" xr:uid="{8F629BC3-7817-B747-BE98-52443D41D500}"/>
    <hyperlink ref="B903" r:id="rId683" xr:uid="{CD607824-2DD8-B54F-8B83-4B2A4C003912}"/>
    <hyperlink ref="B904" r:id="rId684" xr:uid="{B7D89996-AF49-8A4C-B918-F82713ADFF5A}"/>
    <hyperlink ref="B905" r:id="rId685" xr:uid="{43F7486C-E6FA-E04F-98B3-1FEDD649EF25}"/>
    <hyperlink ref="B906" r:id="rId686" xr:uid="{AF7D951D-3873-9743-962E-4D89F837A8DB}"/>
    <hyperlink ref="B908" r:id="rId687" xr:uid="{DE260E35-5674-EE4F-A462-523376B092A2}"/>
    <hyperlink ref="B909" r:id="rId688" xr:uid="{F91FD29B-9FA4-FE46-B470-3CDEA53DE0A5}"/>
    <hyperlink ref="B910" r:id="rId689" xr:uid="{253B497E-E7D0-E440-B834-AC0E4504D357}"/>
    <hyperlink ref="B911" r:id="rId690" xr:uid="{E4C2F4C2-D60D-EC47-BB70-FEE76BB2405A}"/>
    <hyperlink ref="B913" r:id="rId691" xr:uid="{E15CBD01-CCE7-DF4D-B4E0-AAE2722E2659}"/>
    <hyperlink ref="B914" r:id="rId692" xr:uid="{56B6DFA9-CB69-364E-BF38-B7881319F0E4}"/>
    <hyperlink ref="B915" r:id="rId693" xr:uid="{681411B8-D50D-4B48-B1F8-4E22C4B7663D}"/>
    <hyperlink ref="B916" r:id="rId694" xr:uid="{276A52BD-5ECF-104F-BDBC-5D87A9AF097D}"/>
    <hyperlink ref="B918" r:id="rId695" xr:uid="{6F6A8555-8788-E645-B564-E0FD65477A20}"/>
    <hyperlink ref="B919" r:id="rId696" xr:uid="{B95FE149-5563-C947-B748-65EF38BCEFB0}"/>
    <hyperlink ref="B920" r:id="rId697" xr:uid="{D3D94C29-D990-8446-9677-66823CE6BB36}"/>
    <hyperlink ref="B921" r:id="rId698" xr:uid="{B87B657D-A33F-5142-8620-5BA3C5FC45B5}"/>
    <hyperlink ref="B923" r:id="rId699" xr:uid="{F0E3475C-64C7-3742-8EB1-EDC284F9676D}"/>
    <hyperlink ref="B924" r:id="rId700" xr:uid="{32159BE4-7EE7-4A48-A971-3C2B797F557F}"/>
    <hyperlink ref="B925" r:id="rId701" xr:uid="{F5A58FD5-691F-5A4F-903B-824A6B83A3C5}"/>
    <hyperlink ref="B926" r:id="rId702" xr:uid="{A051DB66-325D-5146-B1FF-B51DE8B28DA6}"/>
    <hyperlink ref="B928" r:id="rId703" xr:uid="{56D96517-F481-DE47-9C69-156447F2932C}"/>
    <hyperlink ref="B929" r:id="rId704" xr:uid="{1022C7AE-B907-1340-852E-8F8A14E02E73}"/>
    <hyperlink ref="B930" r:id="rId705" xr:uid="{4AFCAFA8-6CCA-EB41-A67A-2E690FBCC0A8}"/>
    <hyperlink ref="B931" r:id="rId706" xr:uid="{0D1401B6-A8C1-6648-AB67-666612205531}"/>
    <hyperlink ref="B933" r:id="rId707" xr:uid="{E99A1DDF-07C7-904E-A0DB-2D3825396266}"/>
    <hyperlink ref="B934" r:id="rId708" xr:uid="{6B9D6DC5-6029-3046-89E3-DC66A247074E}"/>
    <hyperlink ref="B935" r:id="rId709" xr:uid="{8318F7D1-67CA-1E4E-B35D-2294C71487B1}"/>
    <hyperlink ref="B936" r:id="rId710" xr:uid="{B76E8493-AE85-1341-8355-1BA21C31E19D}"/>
    <hyperlink ref="B938" r:id="rId711" xr:uid="{B4239DE3-DF15-C24A-A979-2F525E919D6D}"/>
    <hyperlink ref="B939" r:id="rId712" xr:uid="{21CBD4B1-D090-334B-8725-0AE5AE52AF47}"/>
    <hyperlink ref="B940" r:id="rId713" xr:uid="{A45673BA-D10E-DC47-B56D-A669F6C2E81C}"/>
    <hyperlink ref="B941" r:id="rId714" xr:uid="{CDEB4D46-EBDB-784E-81A1-55DAAB21586E}"/>
    <hyperlink ref="B943" r:id="rId715" xr:uid="{7319AADE-9D67-4041-8A27-0969F9AB5ABD}"/>
    <hyperlink ref="B944" r:id="rId716" xr:uid="{F9A872BF-A0A2-564B-88A5-2CB574B45CCA}"/>
    <hyperlink ref="B945" r:id="rId717" xr:uid="{1C40DFB9-4C1B-3341-BC0E-ED1A52E3E444}"/>
    <hyperlink ref="B946" r:id="rId718" xr:uid="{35E59F42-9458-2E4C-8992-696CAD35D6C0}"/>
    <hyperlink ref="B948" r:id="rId719" xr:uid="{678CB620-CF7B-A54F-856C-FA1BDCFA0968}"/>
    <hyperlink ref="B949" r:id="rId720" xr:uid="{827EE187-7FE9-A342-BD2A-EC986501D355}"/>
    <hyperlink ref="B950" r:id="rId721" xr:uid="{B346365D-0D31-324C-BD30-4E33B23D41CB}"/>
    <hyperlink ref="B951" r:id="rId722" xr:uid="{863892FF-A964-5244-B03B-791CD74598C1}"/>
    <hyperlink ref="B953" r:id="rId723" xr:uid="{D4EB6A6C-6CA4-BB43-9191-72A834C3A55D}"/>
    <hyperlink ref="B954" r:id="rId724" xr:uid="{C43654F4-C6DA-0B4C-9EBE-CB1EAFA7F526}"/>
    <hyperlink ref="B955" r:id="rId725" xr:uid="{ED91FBC3-71AC-4C48-B0A1-982FA92126D4}"/>
    <hyperlink ref="B956" r:id="rId726" xr:uid="{2D0C72F2-6B43-D642-BC5E-C793B87532AA}"/>
    <hyperlink ref="B958" r:id="rId727" xr:uid="{EE8358E0-016E-834B-A63F-1FB44CF79D8A}"/>
    <hyperlink ref="B959" r:id="rId728" xr:uid="{E7A2714D-F2D8-9041-AC48-EE08E9129937}"/>
    <hyperlink ref="B960" r:id="rId729" xr:uid="{51AD3150-6914-7445-867C-C0F1FC6B4CED}"/>
    <hyperlink ref="B961" r:id="rId730" xr:uid="{66997750-DC8E-A74F-9817-C6C7EBBB7344}"/>
    <hyperlink ref="B963" r:id="rId731" xr:uid="{ECA2D2A9-69BF-324F-9161-8F2FE3DDA4C6}"/>
    <hyperlink ref="B964" r:id="rId732" xr:uid="{0535BE6C-3E7E-7D46-830B-610DECD198BE}"/>
    <hyperlink ref="B965" r:id="rId733" xr:uid="{C972FF4F-9C18-E742-90A8-6BACB276C107}"/>
    <hyperlink ref="B966" r:id="rId734" xr:uid="{8640D1D4-ED8D-D048-94E8-3F1EE9FC9E61}"/>
    <hyperlink ref="B968" r:id="rId735" xr:uid="{DEB523CE-5293-FC4F-B1D1-AC48A9D5487E}"/>
    <hyperlink ref="B969" r:id="rId736" xr:uid="{970D5373-6EA4-DF40-8908-0069D905F8B6}"/>
    <hyperlink ref="B970" r:id="rId737" xr:uid="{BAE7C2D9-8D8E-1B46-B5A4-E00D94301D87}"/>
    <hyperlink ref="B971" r:id="rId738" xr:uid="{72D92FCA-F685-2C42-9FF8-033C27AEF43B}"/>
    <hyperlink ref="B973" r:id="rId739" xr:uid="{03D0EA69-9308-DB4E-AAF9-958C4CA29FD7}"/>
    <hyperlink ref="B974" r:id="rId740" xr:uid="{74900943-4B59-CC47-8911-223778AC25CC}"/>
    <hyperlink ref="B975" r:id="rId741" xr:uid="{517D5C51-7FC4-3E4F-AA41-3ACA0C51A8F5}"/>
    <hyperlink ref="B976" r:id="rId742" xr:uid="{3688F514-1BE1-1843-AF6E-7211E92DF002}"/>
    <hyperlink ref="B978" r:id="rId743" xr:uid="{075080BA-0C8E-3940-928E-2F7EB7627AF3}"/>
    <hyperlink ref="B979" r:id="rId744" xr:uid="{3B39B7B1-1C2C-C041-AF33-AC94A43B0FEB}"/>
    <hyperlink ref="B980" r:id="rId745" xr:uid="{3B6AE0ED-3F55-9840-B2DE-E1ED21E09B79}"/>
    <hyperlink ref="B981" r:id="rId746" xr:uid="{F149B00E-B915-4C4D-938A-49B1D3014774}"/>
    <hyperlink ref="B983" r:id="rId747" xr:uid="{972ED25C-41B4-5C46-9219-BABCBEF7FDDA}"/>
    <hyperlink ref="B984" r:id="rId748" xr:uid="{887FF166-0079-2F43-86CD-0E75E473395A}"/>
    <hyperlink ref="B985" r:id="rId749" xr:uid="{F735B562-ADBB-E742-A5D7-8778A47B3141}"/>
    <hyperlink ref="B986" r:id="rId750" xr:uid="{3183E6A2-80BC-5846-9BE3-FD5043D0BEE6}"/>
    <hyperlink ref="B988" r:id="rId751" xr:uid="{F4472A8C-B153-0A44-9E3E-0944FF09D671}"/>
    <hyperlink ref="B989" r:id="rId752" xr:uid="{235351A5-77A5-2141-9506-BF9A9103896E}"/>
    <hyperlink ref="B990" r:id="rId753" xr:uid="{B4A1017E-7039-9E4E-BFB2-F8BB5A67C325}"/>
    <hyperlink ref="B991" r:id="rId754" xr:uid="{6A0DEC1A-7EF0-6D45-A604-E1BF9B19C7DC}"/>
    <hyperlink ref="B993" r:id="rId755" xr:uid="{4CE6FF42-A480-D444-8EBC-0F73F918C21B}"/>
    <hyperlink ref="B994" r:id="rId756" xr:uid="{A6CC709C-1648-D24E-9353-9BCD8FDCD90C}"/>
    <hyperlink ref="B995" r:id="rId757" xr:uid="{CDBCC894-F8BA-E04C-B1AE-4DCCA6BA831E}"/>
    <hyperlink ref="B996" r:id="rId758" xr:uid="{C5C6700F-34AD-8046-BEE1-ACC9B2202621}"/>
    <hyperlink ref="B998" r:id="rId759" xr:uid="{BA4F6D50-18F4-1A45-BE1C-D7646C0ADE80}"/>
    <hyperlink ref="B999" r:id="rId760" xr:uid="{F9E0E62B-103B-3D47-8BD3-06431C410D97}"/>
    <hyperlink ref="B1000" r:id="rId761" xr:uid="{DD655465-C116-4B4A-B9FE-F3CA84646A33}"/>
    <hyperlink ref="B1001" r:id="rId762" xr:uid="{F4B934B7-C9AC-1E4C-93EA-7862285DF489}"/>
    <hyperlink ref="B1003" r:id="rId763" xr:uid="{8ECF3819-F4F6-0440-8FF7-874EA59A060B}"/>
    <hyperlink ref="B1004" r:id="rId764" xr:uid="{4A3D90F7-5099-2A4A-8395-30C53E254391}"/>
    <hyperlink ref="B1005" r:id="rId765" xr:uid="{CF5E2283-4FD0-9441-B90D-7D40E631E445}"/>
    <hyperlink ref="B1006" r:id="rId766" xr:uid="{C0C553CD-D986-8B40-B69B-82E3E90AE6F7}"/>
    <hyperlink ref="B1008" r:id="rId767" xr:uid="{54344E20-A030-EA49-BBF1-DB85A9E50A64}"/>
    <hyperlink ref="B1009" r:id="rId768" xr:uid="{43FC5D83-BBD8-C442-8215-5D322EFD7722}"/>
    <hyperlink ref="B1010" r:id="rId769" xr:uid="{EE204424-3C5A-0141-9AEC-52107C8AC5AE}"/>
    <hyperlink ref="B1011" r:id="rId770" xr:uid="{8AE101B4-DB91-AD4C-AB81-82C6DD744D12}"/>
    <hyperlink ref="B1013" r:id="rId771" xr:uid="{45F997A5-1514-4743-BCC3-61198F33F885}"/>
    <hyperlink ref="B1014" r:id="rId772" xr:uid="{FC1DBCD9-FA9E-C947-84BC-A982DED39E9F}"/>
    <hyperlink ref="B1015" r:id="rId773" xr:uid="{D7B905AA-A9A3-3D48-AE19-B778B878D35F}"/>
    <hyperlink ref="B1016" r:id="rId774" xr:uid="{F75D0477-2FB0-894A-A457-822834251BA3}"/>
    <hyperlink ref="B1018" r:id="rId775" xr:uid="{7FC73288-70E5-6D40-A1A1-7D477EC4198C}"/>
    <hyperlink ref="B1019" r:id="rId776" xr:uid="{78BA19AA-3E97-DE4D-AD11-C417BC09D6EE}"/>
    <hyperlink ref="B1020" r:id="rId777" xr:uid="{5BA43411-C893-154F-93D7-BC0A8F61917C}"/>
    <hyperlink ref="B1021" r:id="rId778" xr:uid="{97521DA4-F503-A747-AD05-D6E132018E53}"/>
    <hyperlink ref="B1023" r:id="rId779" xr:uid="{DE9078DC-7238-0B42-ACF9-2752C3B95065}"/>
    <hyperlink ref="B1024" r:id="rId780" xr:uid="{77F7E566-163F-A24D-8BD9-BF35AE7EB8F9}"/>
    <hyperlink ref="B1025" r:id="rId781" xr:uid="{ED187F4F-5EC5-6347-B121-19B1AEC92CCE}"/>
    <hyperlink ref="B1026" r:id="rId782" xr:uid="{95262C0B-9FAA-1E47-A645-B8D00737BD1E}"/>
    <hyperlink ref="B1028" r:id="rId783" xr:uid="{F281CAD9-1FF9-9348-928B-A8F653C3D6E3}"/>
    <hyperlink ref="B1029" r:id="rId784" xr:uid="{4269997F-4F4F-5943-8FCE-7A80C43A60B7}"/>
    <hyperlink ref="B1030" r:id="rId785" xr:uid="{0ECBCD48-E92B-CD4F-A806-0B9D92C02379}"/>
    <hyperlink ref="B1031" r:id="rId786" xr:uid="{1E5A1582-74F4-9747-8DFB-DFE96A256288}"/>
    <hyperlink ref="B1033" r:id="rId787" xr:uid="{8E07DC92-CD9D-764A-A8BE-230097E99D77}"/>
    <hyperlink ref="B1034" r:id="rId788" xr:uid="{FBDFBCDF-E2BA-9F40-A8E3-70533BA41D67}"/>
    <hyperlink ref="B1035" r:id="rId789" xr:uid="{37CE5DB3-0B2C-BE41-9D04-65CB2ABB6567}"/>
    <hyperlink ref="B1036" r:id="rId790" xr:uid="{81137F4F-A93B-7543-ADA9-7C9EB6E934F6}"/>
    <hyperlink ref="B1038" r:id="rId791" xr:uid="{38D71355-AAB6-024D-80EB-51B19B6AA59B}"/>
    <hyperlink ref="B1039" r:id="rId792" xr:uid="{89F697BB-CBF5-9E46-AFC2-D9189E9A0ADA}"/>
    <hyperlink ref="B1040" r:id="rId793" xr:uid="{9C8F1061-53D8-9E44-A29F-FB92C3A5763F}"/>
    <hyperlink ref="B1041" r:id="rId794" xr:uid="{543961F5-6919-D84F-A26D-4F33765FF513}"/>
    <hyperlink ref="B1043" r:id="rId795" xr:uid="{E1B63449-A4E5-B649-AFDE-BADF65BB2127}"/>
    <hyperlink ref="B1044" r:id="rId796" xr:uid="{41955CC5-C2B5-6342-9A11-F55262CC2850}"/>
    <hyperlink ref="B1045" r:id="rId797" xr:uid="{F33203E3-2D78-FB42-9226-1B37CDEBE35B}"/>
    <hyperlink ref="B1046" r:id="rId798" xr:uid="{CC85ADEF-F1B4-B340-8FF2-30D25B26607A}"/>
    <hyperlink ref="B1048" r:id="rId799" xr:uid="{771293BF-0150-8E48-B4E8-BDD5D8043053}"/>
    <hyperlink ref="B1049" r:id="rId800" xr:uid="{9FF65C4E-058B-F046-9FDE-463D4F02B9ED}"/>
    <hyperlink ref="B1050" r:id="rId801" xr:uid="{9B2804E5-668F-A14D-A542-6C93F7FF1D23}"/>
    <hyperlink ref="B1051" r:id="rId802" xr:uid="{CCE9DDE8-5EF3-1B48-AE13-5335768E3F4D}"/>
    <hyperlink ref="B1053" r:id="rId803" xr:uid="{6601CAD3-11BE-2E40-84C9-517BD79DE826}"/>
    <hyperlink ref="B1054" r:id="rId804" xr:uid="{D63A40B7-0344-774C-8976-0819271AD993}"/>
    <hyperlink ref="B1055" r:id="rId805" xr:uid="{5AF6B3AD-4F21-084A-80A8-2D2B8C70E0B4}"/>
    <hyperlink ref="B1056" r:id="rId806" xr:uid="{055C50DF-39B0-F946-9E52-07766792E57B}"/>
    <hyperlink ref="B1058" r:id="rId807" xr:uid="{BADBD56D-921D-914A-8E10-7D76CB732CB3}"/>
    <hyperlink ref="B1059" r:id="rId808" xr:uid="{89051A1B-C5D9-C64B-A65F-C069E2D8380F}"/>
    <hyperlink ref="B1060" r:id="rId809" xr:uid="{3FCA494F-2F8B-384C-BC74-FDE771CB2A69}"/>
    <hyperlink ref="B1061" r:id="rId810" xr:uid="{21241E42-37A8-3C46-A1A4-C02DB0A77BA2}"/>
    <hyperlink ref="B1077" r:id="rId811" xr:uid="{0670C3EF-6B33-4410-98A9-FB584A05F948}"/>
    <hyperlink ref="B1082" r:id="rId812" xr:uid="{9BAADFE2-D5FB-42B3-8266-59CCC6E604E4}"/>
    <hyperlink ref="B1087" r:id="rId813" xr:uid="{99EF0848-6569-4DAA-8C0A-283CB5CD348D}"/>
    <hyperlink ref="B1092" r:id="rId814" xr:uid="{CFA83A47-690E-4B4C-9BB9-37200BCFE2ED}"/>
    <hyperlink ref="B1097" r:id="rId815" xr:uid="{5F4A46F8-035B-4617-936C-A970B07833DA}"/>
    <hyperlink ref="B1102" r:id="rId816" xr:uid="{D06C265B-440E-4B8B-BEFF-31BBDDC7771A}"/>
    <hyperlink ref="B1107" r:id="rId817" xr:uid="{2E3096F2-FFB3-47B5-BE0B-F0E0DFC5C3B5}"/>
    <hyperlink ref="B1112" r:id="rId818" xr:uid="{6E57A5E4-E2DA-4D0B-ADC4-4DA5C63B7409}"/>
    <hyperlink ref="B1117" r:id="rId819" xr:uid="{A70E4C9A-FA4D-4140-ABE7-DD1073092067}"/>
    <hyperlink ref="B1122" r:id="rId820" xr:uid="{822965CF-B2B3-441F-8739-B762FD983743}"/>
    <hyperlink ref="B1127" r:id="rId821" xr:uid="{596F97A2-C672-4C67-8D86-84509C9A31AB}"/>
    <hyperlink ref="B1132" r:id="rId822" xr:uid="{0DD487AD-557D-42E5-A866-C6F785EAB8A0}"/>
    <hyperlink ref="B1137" r:id="rId823" xr:uid="{27945546-159C-47A6-B6F9-A96BF1B401E2}"/>
    <hyperlink ref="B1142" r:id="rId824" xr:uid="{8C0F8EDD-23EF-48F8-A6E4-D9E216128D48}"/>
    <hyperlink ref="B1147" r:id="rId825" xr:uid="{82C88359-148B-46EF-A797-B4B34F84034C}"/>
    <hyperlink ref="B1152" r:id="rId826" xr:uid="{4C791864-46CC-4608-8CDF-6299F68AE1CD}"/>
    <hyperlink ref="B1157" r:id="rId827" xr:uid="{C951594A-6F97-4B28-BC19-6DEF2EC71845}"/>
    <hyperlink ref="B1162" r:id="rId828" xr:uid="{7A112745-C8D0-4FC1-9B1E-160A29FA0CFF}"/>
    <hyperlink ref="B1167" r:id="rId829" xr:uid="{B312336F-B6F6-482A-8943-89156DCB7A6D}"/>
    <hyperlink ref="B1172" r:id="rId830" xr:uid="{9C01CF2A-D729-43D7-929E-02ED7FD798B4}"/>
    <hyperlink ref="B1177" r:id="rId831" xr:uid="{45A8B48B-9130-49C1-BBC2-CC4CEDEAF43C}"/>
    <hyperlink ref="B1182" r:id="rId832" xr:uid="{2BAF1535-6182-4980-BE53-721F4E984CF9}"/>
    <hyperlink ref="B1187" r:id="rId833" xr:uid="{D820038A-3169-44FF-8368-3EA5DA2FCD78}"/>
    <hyperlink ref="B1192" r:id="rId834" xr:uid="{CA083283-A8ED-4A06-9721-565311577C8C}"/>
    <hyperlink ref="B1197" r:id="rId835" xr:uid="{014947EE-AC39-48EA-B088-B49CA01A38EA}"/>
    <hyperlink ref="B1202" r:id="rId836" xr:uid="{9616B531-8544-4509-AFA1-AE09986108C4}"/>
    <hyperlink ref="B1207" r:id="rId837" xr:uid="{E2A7B8F9-0277-4011-A61D-8704E9156E4A}"/>
    <hyperlink ref="B1212" r:id="rId838" xr:uid="{A82BFA20-1DC6-4AC2-99FD-3FEB6CF7B0C1}"/>
    <hyperlink ref="B1217" r:id="rId839" xr:uid="{D5BF97A3-4964-4B86-AA69-B24C8212A8E1}"/>
    <hyperlink ref="B1222" r:id="rId840" xr:uid="{1C6680FD-7CCF-4E25-ACF2-3C1AE3B5CCCD}"/>
    <hyperlink ref="B1227" r:id="rId841" xr:uid="{0140DEFF-5438-45EB-B85D-EADA89AB3630}"/>
    <hyperlink ref="B1232" r:id="rId842" xr:uid="{22253C5C-018C-4FEB-A5A6-6D5C83664949}"/>
    <hyperlink ref="B1237" r:id="rId843" xr:uid="{8B63C507-D461-47A3-B09F-985B31BED2C8}"/>
    <hyperlink ref="B1242" r:id="rId844" xr:uid="{6A775BC9-5C2D-44CD-9591-939AD0781283}"/>
    <hyperlink ref="B1247" r:id="rId845" xr:uid="{8D6F5754-016B-4F30-AC0E-014D9DA92A4D}"/>
    <hyperlink ref="B1252" r:id="rId846" xr:uid="{7AC7D371-2FE0-482E-9F9C-1863B9584D57}"/>
    <hyperlink ref="B1257" r:id="rId847" xr:uid="{5B5B0883-F707-4032-B5CE-84A209787ED1}"/>
    <hyperlink ref="B1262" r:id="rId848" xr:uid="{AF22D106-1360-4809-9EA1-B59924009C1F}"/>
    <hyperlink ref="B1267" r:id="rId849" xr:uid="{49DE6D5E-A1ED-4018-B2AE-BE79F67E47C4}"/>
    <hyperlink ref="B1272" r:id="rId850" xr:uid="{8E9406D9-570C-443E-984D-727CEFEB3E22}"/>
    <hyperlink ref="B1277" r:id="rId851" xr:uid="{58695789-467E-4CC8-837E-243902E48A61}"/>
    <hyperlink ref="B1282" r:id="rId852" xr:uid="{742952E6-868E-41BD-B50D-8113D933F937}"/>
    <hyperlink ref="B1287" r:id="rId853" xr:uid="{AAA2F7CB-F9E4-4E4B-A9E8-64F021789970}"/>
    <hyperlink ref="B1292" r:id="rId854" xr:uid="{5703CEA7-0C98-4EB2-A46E-B5210513498D}"/>
    <hyperlink ref="B1297" r:id="rId855" xr:uid="{81053E9B-6EC1-492E-A742-D97A2853DF73}"/>
    <hyperlink ref="B1302" r:id="rId856" xr:uid="{810C7822-0E8E-490E-96B7-B7F4ECAF75BC}"/>
    <hyperlink ref="B1307" r:id="rId857" xr:uid="{1774E8B3-9D7E-48DC-8B1D-7D2320047ACF}"/>
    <hyperlink ref="B1312" r:id="rId858" xr:uid="{EF6CE1A9-F75A-48B9-B2C9-D88ABD73BFD0}"/>
    <hyperlink ref="B1078" r:id="rId859" xr:uid="{53246B92-C8E0-4EFD-9BB4-02CB9319EBCD}"/>
    <hyperlink ref="B1079" r:id="rId860" xr:uid="{B63CBFBE-E9B6-44BC-A1A1-A1675FBEEBBC}"/>
    <hyperlink ref="B1080" r:id="rId861" xr:uid="{29EF3A3F-85FE-4784-B69A-7C1C161484F7}"/>
    <hyperlink ref="B1081" r:id="rId862" xr:uid="{6E6122F2-C330-433B-A048-FF9A796A00CA}"/>
    <hyperlink ref="B1083" r:id="rId863" xr:uid="{CB9571E4-C20E-4172-9CA7-4F8828F848BA}"/>
    <hyperlink ref="B1084" r:id="rId864" xr:uid="{C60E21EC-33A2-43BD-B3C5-3B71AB7AAAD8}"/>
    <hyperlink ref="B1085" r:id="rId865" xr:uid="{B4E6A048-B97F-4B1C-986F-3B84D8A80448}"/>
    <hyperlink ref="B1086" r:id="rId866" xr:uid="{24FFD8B5-A299-4F4B-B4C7-05D78F54F967}"/>
    <hyperlink ref="B1088" r:id="rId867" xr:uid="{B96114DA-78CA-42D0-BB19-CF77F9A58752}"/>
    <hyperlink ref="B1089" r:id="rId868" xr:uid="{78C9910D-F7E7-41CF-B129-F423A60889AF}"/>
    <hyperlink ref="B1090" r:id="rId869" xr:uid="{9294D3C7-D807-4807-817C-BA96D1C54F4E}"/>
    <hyperlink ref="B1091" r:id="rId870" xr:uid="{9C529E12-59AE-45DC-A5F1-95AB21018E23}"/>
    <hyperlink ref="B1093" r:id="rId871" xr:uid="{EA4DC974-D662-448C-9F50-EBFBC4C6988A}"/>
    <hyperlink ref="B1094" r:id="rId872" xr:uid="{03281AF5-70F7-4502-9320-8493A7D15D27}"/>
    <hyperlink ref="B1095" r:id="rId873" xr:uid="{3721ECFD-6C83-4378-A36F-DD3026977DF9}"/>
    <hyperlink ref="B1096" r:id="rId874" xr:uid="{608E542C-19C9-4783-8BCE-BE8F5FEA4A75}"/>
    <hyperlink ref="B1098" r:id="rId875" xr:uid="{5BF3AA6C-2BA9-4DF0-BF2B-9DC03B0A1C72}"/>
    <hyperlink ref="B1099" r:id="rId876" xr:uid="{94A45D91-F233-46A7-B7A2-E8D5DF2AAA85}"/>
    <hyperlink ref="B1100" r:id="rId877" xr:uid="{B2F88727-EEFC-46F6-A099-24C782B4FC82}"/>
    <hyperlink ref="B1101" r:id="rId878" xr:uid="{7D75FB1B-0D94-4B11-9A3C-54AC54D99BDC}"/>
    <hyperlink ref="B1103" r:id="rId879" xr:uid="{83862EC7-AAF6-4F07-9828-634B5C520F17}"/>
    <hyperlink ref="B1104" r:id="rId880" xr:uid="{2CF6201E-818B-4C24-B72A-E8388EB96DDF}"/>
    <hyperlink ref="B1105" r:id="rId881" xr:uid="{0DF2393F-7CF5-492D-9201-D72BEA287C4A}"/>
    <hyperlink ref="B1106" r:id="rId882" xr:uid="{309D6497-DE2D-474C-9D4D-2AFDAB227292}"/>
    <hyperlink ref="B1108" r:id="rId883" xr:uid="{1ACA88A4-AC24-455E-9736-9BB4FA9A43D2}"/>
    <hyperlink ref="B1109" r:id="rId884" xr:uid="{63E6009A-5541-4D73-A2C4-E273EA9CA0B6}"/>
    <hyperlink ref="B1110" r:id="rId885" xr:uid="{640CAA2A-89A8-4225-B938-D1D5D4606CA6}"/>
    <hyperlink ref="B1111" r:id="rId886" xr:uid="{84A1D29E-6211-4767-ABAF-FE4B8AFFB789}"/>
    <hyperlink ref="B1113" r:id="rId887" xr:uid="{CB52BE53-5596-435C-8C8D-82D56B584F16}"/>
    <hyperlink ref="B1114" r:id="rId888" xr:uid="{E9EF193A-711B-4D87-AB0A-7D29EEF93FCF}"/>
    <hyperlink ref="B1115" r:id="rId889" xr:uid="{7D1DE1FD-8263-4E14-9ED7-0912D1E0F499}"/>
    <hyperlink ref="B1116" r:id="rId890" xr:uid="{712E5A87-A55F-4696-9FBC-D8CF886B3D71}"/>
    <hyperlink ref="B1118" r:id="rId891" xr:uid="{436D991D-8033-4FCC-8112-B5EB255ECAD6}"/>
    <hyperlink ref="B1119" r:id="rId892" xr:uid="{F88044B9-7DC7-467B-9419-BE37A535B09D}"/>
    <hyperlink ref="B1120" r:id="rId893" xr:uid="{C049A827-E0BE-4372-8A6F-A70BAEC10B8F}"/>
    <hyperlink ref="B1121" r:id="rId894" xr:uid="{793F8BD9-552F-4CEC-B18A-CDE2A16A07D5}"/>
    <hyperlink ref="B1123" r:id="rId895" xr:uid="{3471F082-ADA9-4EEA-884B-3943AB0E027F}"/>
    <hyperlink ref="B1124" r:id="rId896" xr:uid="{07EDB253-2726-45CF-9957-9B151634BA6C}"/>
    <hyperlink ref="B1125" r:id="rId897" xr:uid="{5941E29B-774D-4302-9256-778C10BE02DB}"/>
    <hyperlink ref="B1126" r:id="rId898" xr:uid="{6674967D-785E-4EF2-BC8B-E1DEDE2351FA}"/>
    <hyperlink ref="B1128" r:id="rId899" xr:uid="{3F007520-74FD-48E4-B7DC-03E833D057E8}"/>
    <hyperlink ref="B1129" r:id="rId900" xr:uid="{A87F7671-410F-4F81-9711-EBCDD059FBA0}"/>
    <hyperlink ref="B1130" r:id="rId901" xr:uid="{3065CF1E-A04A-4FAD-B9F7-EE8C7C2EF688}"/>
    <hyperlink ref="B1131" r:id="rId902" xr:uid="{9F684D3C-165F-43E6-AE8F-F1D0AD467CC7}"/>
    <hyperlink ref="B1133" r:id="rId903" xr:uid="{52D90B33-A06E-4850-87D4-7FD81AB8F426}"/>
    <hyperlink ref="B1134" r:id="rId904" xr:uid="{451E4EE1-AF2D-417E-A20D-B2CAB0E20546}"/>
    <hyperlink ref="B1135" r:id="rId905" xr:uid="{3D190BD9-6122-4582-8A02-4AF4BFE82639}"/>
    <hyperlink ref="B1136" r:id="rId906" xr:uid="{7B52B7A7-7FBB-4EB5-8936-0CEBF8F5393B}"/>
    <hyperlink ref="B1138" r:id="rId907" xr:uid="{78181713-B4D3-4480-8BBF-4B4533022124}"/>
    <hyperlink ref="B1139" r:id="rId908" xr:uid="{770AEADB-1157-44E4-8892-F6880F41F3A7}"/>
    <hyperlink ref="B1140" r:id="rId909" xr:uid="{136A3B6E-F0DE-4425-9AE2-7284BDE719E5}"/>
    <hyperlink ref="B1141" r:id="rId910" xr:uid="{883EDFB8-6E07-4A8C-BEA3-F2D4D753531D}"/>
    <hyperlink ref="B1143" r:id="rId911" xr:uid="{1B5D0E15-7316-4763-B98E-5F038DE58C36}"/>
    <hyperlink ref="B1144" r:id="rId912" xr:uid="{AA573FB0-E33C-49AC-A87C-BEA710E4EBD9}"/>
    <hyperlink ref="B1145" r:id="rId913" xr:uid="{4D6EC83E-4F7E-4D61-A505-AD739A95A975}"/>
    <hyperlink ref="B1146" r:id="rId914" xr:uid="{D4C6D18C-4BD6-4278-9448-6E067AE7930C}"/>
    <hyperlink ref="B1148" r:id="rId915" xr:uid="{D1830954-671C-49A4-BC3C-E9DE0BF6D17F}"/>
    <hyperlink ref="B1149" r:id="rId916" xr:uid="{2B2C5F68-5B34-4BC1-AF73-A512F9275F27}"/>
    <hyperlink ref="B1150" r:id="rId917" xr:uid="{6F2BDD76-4FC7-4012-8BEB-378EAE150710}"/>
    <hyperlink ref="B1151" r:id="rId918" xr:uid="{27C99311-839F-499D-AA1F-E610AD054CA7}"/>
    <hyperlink ref="B1153" r:id="rId919" xr:uid="{3C905FE3-1B70-40C9-A49C-C5CAA2AAD303}"/>
    <hyperlink ref="B1154" r:id="rId920" xr:uid="{9695556F-8955-449C-80C2-631B5998F102}"/>
    <hyperlink ref="B1155" r:id="rId921" xr:uid="{F755A602-80C2-4996-A07E-D18D29424239}"/>
    <hyperlink ref="B1156" r:id="rId922" xr:uid="{A2E2D3E3-2B7E-44BC-8060-A5B7EFFEFE64}"/>
    <hyperlink ref="B1158" r:id="rId923" xr:uid="{F643F653-1D46-422B-BA26-E1C02CAA7C94}"/>
    <hyperlink ref="B1159" r:id="rId924" xr:uid="{488574E4-AC84-486F-BE1E-F00FCF156CA6}"/>
    <hyperlink ref="B1160" r:id="rId925" xr:uid="{6A417C04-3220-42C5-B55A-14DC03A78866}"/>
    <hyperlink ref="B1161" r:id="rId926" xr:uid="{06A16EA6-279D-4206-9E89-8EE9DDDD91FA}"/>
    <hyperlink ref="B1163" r:id="rId927" xr:uid="{AEA2571B-D964-411D-8E53-08F397551990}"/>
    <hyperlink ref="B1164" r:id="rId928" xr:uid="{5B105BC7-C62B-4142-B2A9-938E05ADA274}"/>
    <hyperlink ref="B1165" r:id="rId929" xr:uid="{F6ED1534-780D-4886-A65A-03DE75AE22A7}"/>
    <hyperlink ref="B1166" r:id="rId930" xr:uid="{BACCB173-AFFC-4A2F-9C22-2FFA198DFFE8}"/>
    <hyperlink ref="B1168" r:id="rId931" xr:uid="{BEF5562B-AB18-4882-AB93-A4F71040D64E}"/>
    <hyperlink ref="B1169" r:id="rId932" xr:uid="{96FB5746-A946-48AB-984F-7485044F33AE}"/>
    <hyperlink ref="B1170" r:id="rId933" xr:uid="{91FE8EA8-45A7-4047-8B8A-B5596DE1DFA3}"/>
    <hyperlink ref="B1171" r:id="rId934" xr:uid="{4F483B3E-032E-4327-8A5F-A75F3951F86F}"/>
    <hyperlink ref="B1173" r:id="rId935" xr:uid="{A3003878-CA88-442F-880C-4B63D1298B4E}"/>
    <hyperlink ref="B1174" r:id="rId936" xr:uid="{113718F9-C63F-410A-99D6-FC8CE5B08D25}"/>
    <hyperlink ref="B1175" r:id="rId937" xr:uid="{3F11CA1F-9311-44EB-8A27-9C423ED252CE}"/>
    <hyperlink ref="B1176" r:id="rId938" xr:uid="{FB5D4547-EC28-4DC4-8AF6-CEE598E12311}"/>
    <hyperlink ref="B1178" r:id="rId939" xr:uid="{2CF263AE-E464-460F-9627-1B069B167F65}"/>
    <hyperlink ref="B1179" r:id="rId940" xr:uid="{28AE2F91-C91C-454A-B747-0FF37C897D23}"/>
    <hyperlink ref="B1180" r:id="rId941" xr:uid="{60BFC944-BAA3-4F08-BEA9-8624C22D86D5}"/>
    <hyperlink ref="B1181" r:id="rId942" xr:uid="{8E9010A0-EE0B-4CED-8583-6280294D0E3F}"/>
    <hyperlink ref="B1183" r:id="rId943" xr:uid="{5B563B1B-ECEE-4C97-A8ED-F30A69EB4F7F}"/>
    <hyperlink ref="B1184" r:id="rId944" xr:uid="{74CCD06C-E1D3-42EA-8D9D-65445663AB51}"/>
    <hyperlink ref="B1185" r:id="rId945" xr:uid="{7839F3A9-61AE-4C71-A999-55BC261217F8}"/>
    <hyperlink ref="B1186" r:id="rId946" xr:uid="{A1CBE01D-7F98-4470-8471-7D009A342D11}"/>
    <hyperlink ref="B1188" r:id="rId947" xr:uid="{F1CB46B3-387A-478C-B757-CFE0030DFF43}"/>
    <hyperlink ref="B1189" r:id="rId948" xr:uid="{E61E5ECE-CBF1-48BA-ACCB-B05D9672771E}"/>
    <hyperlink ref="B1190" r:id="rId949" xr:uid="{63AB6688-48BA-4F50-89EF-B149C0747677}"/>
    <hyperlink ref="B1191" r:id="rId950" xr:uid="{FC317766-A5A7-4B6F-A337-AC63DB38E98F}"/>
    <hyperlink ref="B1193" r:id="rId951" xr:uid="{3A19871D-4429-47A6-913E-95C0FA874A72}"/>
    <hyperlink ref="B1194" r:id="rId952" xr:uid="{065C3BF3-2323-42BD-B30C-6061DD83AD27}"/>
    <hyperlink ref="B1195" r:id="rId953" xr:uid="{28C3A872-C800-4EC7-BF7A-517C3C9DCE22}"/>
    <hyperlink ref="B1196" r:id="rId954" xr:uid="{C8F265C9-CED9-449D-83FD-5B44773EBCB8}"/>
    <hyperlink ref="B1198" r:id="rId955" xr:uid="{9ADE978C-D96D-4826-BC28-2894A74CCE6B}"/>
    <hyperlink ref="B1199" r:id="rId956" xr:uid="{B88947DC-BBCF-4EB6-B693-CA1B3298AB38}"/>
    <hyperlink ref="B1200" r:id="rId957" xr:uid="{86229BCA-E2F3-4167-AC01-EB0356326378}"/>
    <hyperlink ref="B1201" r:id="rId958" xr:uid="{DD420FE1-BAAC-4E25-8D93-EFEF41EE0B3D}"/>
    <hyperlink ref="B1203" r:id="rId959" xr:uid="{D2AE8758-74BE-4CC8-83CF-8623F226A9BA}"/>
    <hyperlink ref="B1204" r:id="rId960" xr:uid="{4DBECAE3-E3DC-488E-A03C-FCD6605074ED}"/>
    <hyperlink ref="B1205" r:id="rId961" xr:uid="{E7738CF7-A00A-4B33-9DE6-199C44294939}"/>
    <hyperlink ref="B1206" r:id="rId962" xr:uid="{F4B4A02E-096B-424B-9110-1D9FAA593C14}"/>
    <hyperlink ref="B1208" r:id="rId963" xr:uid="{01E8B645-571F-489E-A71C-D12EF4C1193D}"/>
    <hyperlink ref="B1209" r:id="rId964" xr:uid="{FE3028F5-F272-4D7D-A53E-B24E9E29C4E3}"/>
    <hyperlink ref="B1210" r:id="rId965" xr:uid="{8722F93B-7EC8-4677-ABD1-3A815B61F3C7}"/>
    <hyperlink ref="B1211" r:id="rId966" xr:uid="{BADCF7E5-749B-4639-8B9E-74F7044DA0BF}"/>
    <hyperlink ref="B1213" r:id="rId967" xr:uid="{BEA5BF7A-30EA-47FE-911B-C3EB2359CF41}"/>
    <hyperlink ref="B1214" r:id="rId968" xr:uid="{CB980298-7598-43B8-A43F-33DF4D386297}"/>
    <hyperlink ref="B1215" r:id="rId969" xr:uid="{44C99E7C-DF24-4969-8F86-B93F28C594D6}"/>
    <hyperlink ref="B1216" r:id="rId970" xr:uid="{D668D81A-E03A-4117-9225-C07CD8FB2B53}"/>
    <hyperlink ref="B1218" r:id="rId971" xr:uid="{0D9ADFDA-295D-4DC7-A204-AFCDCCE28379}"/>
    <hyperlink ref="B1219" r:id="rId972" xr:uid="{0662D350-07C0-4844-903A-19126804F1BE}"/>
    <hyperlink ref="B1220" r:id="rId973" xr:uid="{F21F21C3-D640-4315-9074-3BF9BB36A577}"/>
    <hyperlink ref="B1221" r:id="rId974" xr:uid="{9AF3EA95-4912-4CDB-8A21-373B0C1E5AD9}"/>
    <hyperlink ref="B1223" r:id="rId975" xr:uid="{E76CF48E-45F6-46F4-929D-86B3D5A28553}"/>
    <hyperlink ref="B1224" r:id="rId976" xr:uid="{28C6DDE4-5A8A-4465-AFEF-29B1648016CB}"/>
    <hyperlink ref="B1225" r:id="rId977" xr:uid="{D514957C-0E43-44CF-A799-55C84DA0B134}"/>
    <hyperlink ref="B1226" r:id="rId978" xr:uid="{318C615D-8805-4170-A91A-5829C90216BC}"/>
    <hyperlink ref="B1228" r:id="rId979" xr:uid="{445D9345-08FE-4DD7-8C83-05DBD3A1BBF9}"/>
    <hyperlink ref="B1229" r:id="rId980" xr:uid="{D5221B54-326D-4DEE-9B62-3706A9803E5D}"/>
    <hyperlink ref="B1230" r:id="rId981" xr:uid="{7BF48D4B-CDB5-4BA0-9388-C6F3EF04EECD}"/>
    <hyperlink ref="B1231" r:id="rId982" xr:uid="{3CBF0754-3E0E-4310-8CF7-FFDAC9F94232}"/>
    <hyperlink ref="B1233" r:id="rId983" xr:uid="{B537B8B9-EF68-4FE1-8A11-B70B3F3C46E9}"/>
    <hyperlink ref="B1234" r:id="rId984" xr:uid="{C3E57E0B-6F7A-449A-AD06-2AB26CDD1EA0}"/>
    <hyperlink ref="B1235" r:id="rId985" xr:uid="{A368908B-2BEC-4C15-8398-CE02467A5D17}"/>
    <hyperlink ref="B1236" r:id="rId986" xr:uid="{B3609822-E06B-4846-9515-C325BF2CF5FF}"/>
    <hyperlink ref="B1238" r:id="rId987" xr:uid="{5C3256B7-1138-467F-A1BB-B9C4D0BD6FA5}"/>
    <hyperlink ref="B1239" r:id="rId988" xr:uid="{441BC8D5-C7A4-451A-A987-60ECB0710B77}"/>
    <hyperlink ref="B1240" r:id="rId989" xr:uid="{A456E687-FAA1-4267-BA83-5050385A001D}"/>
    <hyperlink ref="B1241" r:id="rId990" xr:uid="{68626520-43CA-4163-9C8C-5E77E01D718B}"/>
    <hyperlink ref="B1243" r:id="rId991" xr:uid="{50B55AC5-3297-4FC3-9C56-F0C805DD67D2}"/>
    <hyperlink ref="B1244" r:id="rId992" xr:uid="{7616AD6B-C2AF-4761-8EC7-94BBEB182135}"/>
    <hyperlink ref="B1245" r:id="rId993" xr:uid="{B283FCBF-4649-4184-B716-556EA10F78D8}"/>
    <hyperlink ref="B1246" r:id="rId994" xr:uid="{D69D6652-4713-444B-8943-898A27A1242B}"/>
    <hyperlink ref="B1248" r:id="rId995" xr:uid="{FAD49EC1-53D1-4914-ADE9-CDC409CDEA35}"/>
    <hyperlink ref="B1249" r:id="rId996" xr:uid="{69197DC6-FA48-436B-8CA2-2F74EB5DD4B3}"/>
    <hyperlink ref="B1250" r:id="rId997" xr:uid="{18401D75-A919-4553-972F-953A2E1B9814}"/>
    <hyperlink ref="B1251" r:id="rId998" xr:uid="{59D0BE19-46DD-4DD3-A3C8-8B6790625A66}"/>
    <hyperlink ref="B1253" r:id="rId999" xr:uid="{76795164-49EB-4D8A-AD11-A719F72AF964}"/>
    <hyperlink ref="B1254" r:id="rId1000" xr:uid="{36AD0553-595A-4968-8F91-96E23541B2AE}"/>
    <hyperlink ref="B1255" r:id="rId1001" xr:uid="{F57A51AB-1759-434D-970C-A2B01C13B049}"/>
    <hyperlink ref="B1256" r:id="rId1002" xr:uid="{A2C1DFB5-B6A0-44D9-9353-51531C68F7D6}"/>
    <hyperlink ref="B1258" r:id="rId1003" xr:uid="{DE16C566-57F4-449D-A8E6-0C2507C148F5}"/>
    <hyperlink ref="B1259" r:id="rId1004" xr:uid="{9BF7341D-C2F6-4A74-9F4B-9B281339316A}"/>
    <hyperlink ref="B1260" r:id="rId1005" xr:uid="{A419FA5D-55A5-4474-A3D8-04C4463178BF}"/>
    <hyperlink ref="B1261" r:id="rId1006" xr:uid="{A645543C-BAA5-4024-AA03-B625BC83A3AC}"/>
    <hyperlink ref="B1263" r:id="rId1007" xr:uid="{5092EF7D-F4C0-4388-AF75-EC5D2D975D99}"/>
    <hyperlink ref="B1264" r:id="rId1008" xr:uid="{785B8448-D213-4AD7-B307-D47DC2920811}"/>
    <hyperlink ref="B1265" r:id="rId1009" xr:uid="{C8C4CD3A-CA9A-4BDF-9331-A40C52EBB13E}"/>
    <hyperlink ref="B1266" r:id="rId1010" xr:uid="{FC4673D6-83B8-47B6-B107-4295D3D8FEC2}"/>
    <hyperlink ref="B1268" r:id="rId1011" xr:uid="{8D983D98-F092-49C8-92E8-0293460B564E}"/>
    <hyperlink ref="B1269" r:id="rId1012" xr:uid="{0495A721-35A8-494B-ADD3-3CCB8CF37D36}"/>
    <hyperlink ref="B1270" r:id="rId1013" xr:uid="{AB332722-899E-40B3-B2F5-DEFDD0756048}"/>
    <hyperlink ref="B1271" r:id="rId1014" xr:uid="{59225F80-876F-4C71-85B9-F2690F2F0AEB}"/>
    <hyperlink ref="B1273" r:id="rId1015" xr:uid="{7A2CB9B1-4ECC-4E42-AD2E-99A172323299}"/>
    <hyperlink ref="B1274" r:id="rId1016" xr:uid="{8023DF36-F7DF-4E7A-A150-E6AC15D319BF}"/>
    <hyperlink ref="B1275" r:id="rId1017" xr:uid="{78808BB6-9BA1-4A07-A00E-D07B4962ACE1}"/>
    <hyperlink ref="B1276" r:id="rId1018" xr:uid="{B00572A6-7423-46EF-8353-474061F57F2F}"/>
    <hyperlink ref="B1278" r:id="rId1019" xr:uid="{C0C962BA-936F-4932-BE68-4AA99E80677F}"/>
    <hyperlink ref="B1279" r:id="rId1020" xr:uid="{B132F1DB-262A-4121-B05B-D546C028EF93}"/>
    <hyperlink ref="B1280" r:id="rId1021" xr:uid="{93853BE0-C87D-4C50-8B21-424B2C00D1CF}"/>
    <hyperlink ref="B1281" r:id="rId1022" xr:uid="{0472897A-D8F1-4A9D-8278-06034C623008}"/>
    <hyperlink ref="B1283" r:id="rId1023" xr:uid="{B63CF7E9-C798-4D2B-9E66-4873602C9C9C}"/>
    <hyperlink ref="B1284" r:id="rId1024" xr:uid="{8363946C-B29A-415F-B845-014541F72E00}"/>
    <hyperlink ref="B1285" r:id="rId1025" xr:uid="{FF1C08B9-5CC1-4E06-8CE6-7D01706171C4}"/>
    <hyperlink ref="B1286" r:id="rId1026" xr:uid="{288A03FC-058C-4F07-864C-63F077E866B4}"/>
    <hyperlink ref="B1288" r:id="rId1027" xr:uid="{03DF4C12-281B-440C-A99B-B3F8DBEBCE5E}"/>
    <hyperlink ref="B1289" r:id="rId1028" xr:uid="{1BFE74A7-C045-4F84-9483-F46C401C16D5}"/>
    <hyperlink ref="B1290" r:id="rId1029" xr:uid="{21866DDD-E8CD-4C1B-808B-5AB7836863F8}"/>
    <hyperlink ref="B1291" r:id="rId1030" xr:uid="{E9F63DE1-10D2-4392-94CA-EE5D5C17F99B}"/>
    <hyperlink ref="B1293" r:id="rId1031" xr:uid="{DED87745-3B2C-4932-80AC-CD620673F5D1}"/>
    <hyperlink ref="B1294" r:id="rId1032" xr:uid="{160F95F6-91CA-4789-8B3C-9CFE09963503}"/>
    <hyperlink ref="B1295" r:id="rId1033" xr:uid="{B33DACC6-7AB9-4FC8-8507-D3E6F99D4A0D}"/>
    <hyperlink ref="B1296" r:id="rId1034" xr:uid="{369FD768-97BC-4505-9CFC-D9D84AD9FE47}"/>
    <hyperlink ref="B1298" r:id="rId1035" xr:uid="{1A75D299-39AF-46F6-A38F-2E8E0ADB7CF5}"/>
    <hyperlink ref="B1299" r:id="rId1036" xr:uid="{4019F20C-9115-4479-AF91-7E763D864054}"/>
    <hyperlink ref="B1300" r:id="rId1037" xr:uid="{143D9D3D-ADBC-4AC0-94EC-9D92076E5D5A}"/>
    <hyperlink ref="B1301" r:id="rId1038" xr:uid="{F3AB3665-BF0B-4868-B7D5-661E7F4CF167}"/>
    <hyperlink ref="B1303" r:id="rId1039" xr:uid="{8CD38757-9119-47A1-8F6B-ACF3AD5EB0BD}"/>
    <hyperlink ref="B1304" r:id="rId1040" xr:uid="{B7571C34-F8E2-4F59-B0A9-1F1AF35FD058}"/>
    <hyperlink ref="B1305" r:id="rId1041" xr:uid="{D693C365-D1DE-4160-BA64-3FB38C315EF5}"/>
    <hyperlink ref="B1306" r:id="rId1042" xr:uid="{3DCE72FA-9C14-46A1-BF3E-9B540C06CCED}"/>
    <hyperlink ref="B1308" r:id="rId1043" xr:uid="{0E0931B5-0E25-4103-BDE0-4D5F5F74BF28}"/>
    <hyperlink ref="B1309" r:id="rId1044" xr:uid="{D920E622-FFD1-4ADD-927A-5C665B04E6A7}"/>
    <hyperlink ref="B1310" r:id="rId1045" xr:uid="{E1261477-69E4-4127-A3F4-CBD945D128A2}"/>
    <hyperlink ref="B1311" r:id="rId1046" xr:uid="{10787CCF-D5C6-4AB4-AD8F-76D0B02D69FE}"/>
    <hyperlink ref="B1313" r:id="rId1047" xr:uid="{ABDDC0DB-D5D0-4211-A601-DC63B7DB6BAD}"/>
    <hyperlink ref="B1314" r:id="rId1048" xr:uid="{9CB54815-6292-4B17-842E-89F6BADB4C24}"/>
    <hyperlink ref="B1315" r:id="rId1049" xr:uid="{3C10873C-F65F-4504-8FEE-CD0EBD6261B6}"/>
    <hyperlink ref="B1316" r:id="rId1050" xr:uid="{A8680F00-0A58-4A3E-B007-D9B5E1A3C684}"/>
    <hyperlink ref="B1317" r:id="rId1051" xr:uid="{6342D05F-C416-4AFD-9F1C-BB0E9E0C5DBD}"/>
    <hyperlink ref="B1322" r:id="rId1052" xr:uid="{915D0101-C283-4463-B771-E7EF0C1AF67B}"/>
    <hyperlink ref="B1327" r:id="rId1053" xr:uid="{DCCE37DE-7E31-48A5-A8B4-60112A4AE4DC}"/>
    <hyperlink ref="B1332" r:id="rId1054" xr:uid="{033326AD-D309-448C-90C9-084B356816EC}"/>
    <hyperlink ref="B1337" r:id="rId1055" xr:uid="{7E287B24-5E49-4713-90BD-A7077BD63920}"/>
    <hyperlink ref="B1342" r:id="rId1056" xr:uid="{2AE30C59-61A1-4F49-86F6-46083A05417F}"/>
    <hyperlink ref="B1347" r:id="rId1057" xr:uid="{E3E65612-C5A2-4DB7-BF58-A867CD15C79C}"/>
    <hyperlink ref="B1352" r:id="rId1058" xr:uid="{DE74F803-18F1-4C74-B964-C5E7400308B8}"/>
    <hyperlink ref="B1357" r:id="rId1059" xr:uid="{950FDDF0-CD9D-449F-86A6-7F45B6ED3FC2}"/>
    <hyperlink ref="B1362" r:id="rId1060" xr:uid="{D21BAADC-334C-4DFE-8239-C3B4BF43D4EB}"/>
    <hyperlink ref="B1367" r:id="rId1061" xr:uid="{128A6226-3CD0-472C-A516-874064B0E138}"/>
    <hyperlink ref="B1372" r:id="rId1062" xr:uid="{AC24A90B-678F-4057-A712-941DD10593AE}"/>
    <hyperlink ref="B1377" r:id="rId1063" xr:uid="{1C0E3EDD-3221-4CEF-B5D0-6B7489D64AFB}"/>
    <hyperlink ref="B1382" r:id="rId1064" xr:uid="{3B7E0146-91C6-4F84-8795-B14BA68D275E}"/>
    <hyperlink ref="B1387" r:id="rId1065" xr:uid="{4352FDC9-B525-45D6-A8BD-CF3D23CE8D0A}"/>
    <hyperlink ref="B1392" r:id="rId1066" xr:uid="{B39CAF03-C6B7-421A-814D-73B37912A724}"/>
    <hyperlink ref="B1397" r:id="rId1067" xr:uid="{6B3D75B0-A539-4B18-A9EE-B0626D122BA8}"/>
    <hyperlink ref="B1402" r:id="rId1068" xr:uid="{19B4AD49-1AA5-42BF-A80D-401007E621E8}"/>
    <hyperlink ref="B1407" r:id="rId1069" xr:uid="{783080DB-18BF-4457-8FAF-0073418A2883}"/>
    <hyperlink ref="B1412" r:id="rId1070" xr:uid="{E9DA62CC-0425-4EF9-95CD-BBCBC210254F}"/>
    <hyperlink ref="B1417" r:id="rId1071" xr:uid="{131F7C93-CE46-4026-94E0-5A5FA01E4615}"/>
    <hyperlink ref="B1422" r:id="rId1072" xr:uid="{616D9584-811F-4622-841B-F31BC735D488}"/>
    <hyperlink ref="B1427" r:id="rId1073" xr:uid="{E3E1AA6E-BD8B-4395-90D9-8757BEA145F2}"/>
    <hyperlink ref="B1432" r:id="rId1074" xr:uid="{0F37FCC3-78FB-490D-AE81-4E189305EA43}"/>
    <hyperlink ref="B1437" r:id="rId1075" xr:uid="{A3D2D013-E59F-426A-B06E-3A363695EAC9}"/>
    <hyperlink ref="B1442" r:id="rId1076" xr:uid="{7A6A2A7C-A32C-4B97-A6D3-295151728B4E}"/>
    <hyperlink ref="B1447" r:id="rId1077" xr:uid="{A352CA14-F083-488C-BBF2-6B5DB7ED821D}"/>
    <hyperlink ref="B1452" r:id="rId1078" xr:uid="{DDF46EDE-654A-4CF4-A6F7-FFBC64B68E03}"/>
    <hyperlink ref="B1457" r:id="rId1079" xr:uid="{FD1C6293-3B4F-471A-9E83-504B2638D667}"/>
    <hyperlink ref="B1462" r:id="rId1080" xr:uid="{00751F87-DC65-4C5C-8F87-7AE97FC54CE4}"/>
    <hyperlink ref="B1467" r:id="rId1081" xr:uid="{F105E1ED-3722-4DA9-8474-70E6BE4F6FC7}"/>
    <hyperlink ref="B1472" r:id="rId1082" xr:uid="{F352713E-5142-4748-AAE2-BB17A632947A}"/>
    <hyperlink ref="B1477" r:id="rId1083" xr:uid="{97C823E3-55B1-4A1C-BB01-642272DAAC9C}"/>
    <hyperlink ref="B1482" r:id="rId1084" xr:uid="{67F4E2CA-CEA9-454B-A75F-DD9D7EE0767F}"/>
    <hyperlink ref="B1487" r:id="rId1085" xr:uid="{D8AAB839-3431-4992-9591-8A5048227F56}"/>
    <hyperlink ref="B1492" r:id="rId1086" xr:uid="{A30E353D-D1F8-43AA-8D35-C08638EC6B49}"/>
    <hyperlink ref="B1497" r:id="rId1087" xr:uid="{1E984D2F-81DA-4153-95A1-CA6053F7057F}"/>
    <hyperlink ref="B1502" r:id="rId1088" xr:uid="{497CE647-0891-4F21-B227-FF9A6A4A3299}"/>
    <hyperlink ref="B1507" r:id="rId1089" xr:uid="{FC9886B8-ADFA-4F80-B1BC-6EFCFE4214BD}"/>
    <hyperlink ref="B1512" r:id="rId1090" xr:uid="{F2537D30-6BFF-4EC4-BA8A-B9CFEA8B244F}"/>
    <hyperlink ref="B1517" r:id="rId1091" xr:uid="{1CADD046-1617-4E89-A49E-52B5298518CD}"/>
    <hyperlink ref="B1522" r:id="rId1092" xr:uid="{109A270C-CD90-41A2-B218-E826A8B53E63}"/>
    <hyperlink ref="B1527" r:id="rId1093" xr:uid="{4ED0C18B-FBB2-4904-88E4-D27B4B9AE49E}"/>
    <hyperlink ref="B1532" r:id="rId1094" xr:uid="{70C80EB9-F31E-4095-9177-461417E08F06}"/>
    <hyperlink ref="B1537" r:id="rId1095" xr:uid="{A8361A8F-B904-4FC5-8BAE-46E1CA222922}"/>
    <hyperlink ref="B1542" r:id="rId1096" xr:uid="{1FCE3AE4-AA4D-40E9-99EC-E3D0B54E6331}"/>
    <hyperlink ref="B1547" r:id="rId1097" xr:uid="{124FD69C-9749-467A-8FFE-289B3EFA3339}"/>
    <hyperlink ref="B1552" r:id="rId1098" xr:uid="{51CB3A1E-6B9F-4674-9EF6-8785927CF8A3}"/>
    <hyperlink ref="B1557" r:id="rId1099" xr:uid="{D78B4FC2-5310-49C2-A9D4-2A730F60FCC4}"/>
    <hyperlink ref="B1562" r:id="rId1100" xr:uid="{7BD44BE1-46CD-4114-9FDE-413FF28E3A6D}"/>
    <hyperlink ref="B1567" r:id="rId1101" xr:uid="{FA55B1E7-FE42-4317-9E71-6B04191AECB7}"/>
    <hyperlink ref="B1572" r:id="rId1102" xr:uid="{3524DA89-9569-4903-BEA0-61E39A12B3B9}"/>
    <hyperlink ref="B1577" r:id="rId1103" xr:uid="{9E2C7671-8676-4EB7-A3B6-5839C995F03E}"/>
    <hyperlink ref="B1582" r:id="rId1104" xr:uid="{E23B5374-B6BF-4C17-BB01-3AD41B1C6124}"/>
    <hyperlink ref="B1587" r:id="rId1105" xr:uid="{DF174F03-AB77-423B-9A5B-501F5DA3E522}"/>
    <hyperlink ref="B1592" r:id="rId1106" xr:uid="{3F66603C-A3C1-48FC-92D1-D83D0108E95A}"/>
    <hyperlink ref="B1597" r:id="rId1107" xr:uid="{C8764AA5-D4BD-48CB-A60A-6D88CFF26449}"/>
    <hyperlink ref="B1602" r:id="rId1108" xr:uid="{D40DE158-137B-4DC9-AA33-1803B5B071B8}"/>
    <hyperlink ref="B1607" r:id="rId1109" xr:uid="{0BAE8EB6-2096-4697-A5D6-F17633E57148}"/>
    <hyperlink ref="B1612" r:id="rId1110" xr:uid="{3E5202BD-A15E-41DB-8CE9-B2502C763EDC}"/>
    <hyperlink ref="B1318" r:id="rId1111" xr:uid="{04FA0512-90E1-40F0-9B69-D5CC63AF1F20}"/>
    <hyperlink ref="B1319" r:id="rId1112" xr:uid="{3C046DB7-3DFC-4B41-94DA-0371314BDE65}"/>
    <hyperlink ref="B1320" r:id="rId1113" xr:uid="{F7E24B5D-A1D0-4DB4-802D-604208A3EDCD}"/>
    <hyperlink ref="B1321" r:id="rId1114" xr:uid="{49CF1603-11C7-4E7D-A040-830EC01DB36A}"/>
    <hyperlink ref="B1323" r:id="rId1115" xr:uid="{E3C353E8-00E3-4B81-BF1E-D3AB97444626}"/>
    <hyperlink ref="B1324" r:id="rId1116" xr:uid="{06A52756-E9D5-4CEC-8088-EF874BCD3691}"/>
    <hyperlink ref="B1325" r:id="rId1117" xr:uid="{7E8FEE9D-5409-47EA-BE5B-F79C20A157A3}"/>
    <hyperlink ref="B1326" r:id="rId1118" xr:uid="{3A3CEE03-2371-4787-AC71-22859FC60448}"/>
    <hyperlink ref="B1328" r:id="rId1119" xr:uid="{59478738-33E6-4C3F-B817-A09D777685DA}"/>
    <hyperlink ref="B1329" r:id="rId1120" xr:uid="{79F3FA97-7877-4C8C-95E4-FEDBC4290BFF}"/>
    <hyperlink ref="B1330" r:id="rId1121" xr:uid="{9AB35CAD-2197-4D65-9F88-A2AB407D5086}"/>
    <hyperlink ref="B1331" r:id="rId1122" xr:uid="{ED562924-C25D-470B-B1A9-3C23E32AB354}"/>
    <hyperlink ref="B1333" r:id="rId1123" xr:uid="{F343E557-3FB5-4089-B81C-77AEA59AE93E}"/>
    <hyperlink ref="B1334" r:id="rId1124" xr:uid="{702756AB-522A-4E0A-A563-F3C5C38AA76E}"/>
    <hyperlink ref="B1335" r:id="rId1125" xr:uid="{A9B8FD8D-DCC8-4AC7-AF2D-5C3080272F52}"/>
    <hyperlink ref="B1336" r:id="rId1126" xr:uid="{0E01DB0E-7432-439E-9F52-B9946278D392}"/>
    <hyperlink ref="B1338" r:id="rId1127" xr:uid="{EEAC1EA1-7DD3-4FD2-9792-FEE87F7F9A1C}"/>
    <hyperlink ref="B1339" r:id="rId1128" xr:uid="{E1547C67-91DF-4C37-9456-12ED3D303B4E}"/>
    <hyperlink ref="B1340" r:id="rId1129" xr:uid="{76A19753-F767-4DC8-B998-2ADB9A05B258}"/>
    <hyperlink ref="B1341" r:id="rId1130" xr:uid="{DD17F90B-CD66-44A1-94BA-3574E4937B0C}"/>
    <hyperlink ref="B1343" r:id="rId1131" xr:uid="{070F137B-A9BA-4D93-A2AD-D2A6399D42FF}"/>
    <hyperlink ref="B1344" r:id="rId1132" xr:uid="{8365FF2A-D60A-41AB-BC8D-286F387E107A}"/>
    <hyperlink ref="B1345" r:id="rId1133" xr:uid="{A469A060-F96B-4349-AD93-EFED1A04806B}"/>
    <hyperlink ref="B1346" r:id="rId1134" xr:uid="{6ACA44CA-B507-4201-AB37-B1D57B11C589}"/>
    <hyperlink ref="B1348" r:id="rId1135" xr:uid="{66FE296E-B0EA-4A6D-A823-C4425162DBEE}"/>
    <hyperlink ref="B1349" r:id="rId1136" xr:uid="{A91ECA66-D646-41EE-9AF6-26BD2DE3E22C}"/>
    <hyperlink ref="B1350" r:id="rId1137" xr:uid="{FBF8A7B2-1358-4286-9E89-0499F70B56B2}"/>
    <hyperlink ref="B1351" r:id="rId1138" xr:uid="{BBE34B91-EE32-48FF-9C44-8B2D5EA438C7}"/>
    <hyperlink ref="B1353" r:id="rId1139" xr:uid="{08E89E30-1AF4-4F73-B2A8-2CD67D88F402}"/>
    <hyperlink ref="B1354" r:id="rId1140" xr:uid="{FFFB027D-9230-4EF8-B0F9-EE2241E2E609}"/>
    <hyperlink ref="B1355" r:id="rId1141" xr:uid="{0EE35206-23F0-442C-9170-25F0F107328A}"/>
    <hyperlink ref="B1356" r:id="rId1142" xr:uid="{D4B3809E-3AEA-46BB-AA80-3C6E0DAA0CE7}"/>
    <hyperlink ref="B1358" r:id="rId1143" xr:uid="{8E94686C-049E-44E9-A1D5-5C56812BBF90}"/>
    <hyperlink ref="B1359" r:id="rId1144" xr:uid="{863C8E5C-D3A3-41D5-8338-F5F3F38F61C9}"/>
    <hyperlink ref="B1360" r:id="rId1145" xr:uid="{E7945323-73FD-43A6-B33D-BCED20BEF9F9}"/>
    <hyperlink ref="B1361" r:id="rId1146" xr:uid="{A095BB31-81FA-4755-9D14-C51F77A63121}"/>
    <hyperlink ref="B1363" r:id="rId1147" xr:uid="{D434C8D1-97AB-418F-8A7C-16C363AE7B17}"/>
    <hyperlink ref="B1364" r:id="rId1148" xr:uid="{00AF3694-0320-4559-A568-5B5DB4713DC6}"/>
    <hyperlink ref="B1365" r:id="rId1149" xr:uid="{FC97CDF0-29AA-4575-8F3A-8F224D3A512C}"/>
    <hyperlink ref="B1366" r:id="rId1150" xr:uid="{1FF4D408-70E8-4E47-B3BC-6C43F9B7529F}"/>
    <hyperlink ref="B1368" r:id="rId1151" xr:uid="{5A7E86B7-A371-41EC-8051-4B2C57974489}"/>
    <hyperlink ref="B1369" r:id="rId1152" xr:uid="{9A044D37-BC2C-4841-9F48-6A4BC9D7106F}"/>
    <hyperlink ref="B1370" r:id="rId1153" xr:uid="{EBC93C87-9E81-4EBC-84FA-8142A4CF8994}"/>
    <hyperlink ref="B1371" r:id="rId1154" xr:uid="{219ABCE7-5855-4D0F-A6C9-10D257CBD8A7}"/>
    <hyperlink ref="B1373" r:id="rId1155" xr:uid="{432ED33D-BA56-4C93-98F2-D4E721D884A3}"/>
    <hyperlink ref="B1374" r:id="rId1156" xr:uid="{673699C3-DBEB-423F-9DB2-6B09CB64FA23}"/>
    <hyperlink ref="B1375" r:id="rId1157" xr:uid="{02ACAA8A-163B-4E86-B761-942F2EAE850F}"/>
    <hyperlink ref="B1376" r:id="rId1158" xr:uid="{A456363E-7561-4E0A-A306-445C7F1CBC8B}"/>
    <hyperlink ref="B1378" r:id="rId1159" xr:uid="{5B6094D8-6EA0-413C-888E-8D3935D4BCFE}"/>
    <hyperlink ref="B1379" r:id="rId1160" xr:uid="{B07F6979-B7A1-4B06-9AC5-6355D6E09DE6}"/>
    <hyperlink ref="B1380" r:id="rId1161" xr:uid="{BC9D7B05-A76E-45A2-9570-339160025E51}"/>
    <hyperlink ref="B1381" r:id="rId1162" xr:uid="{49EBC627-CCA4-467D-BF9A-B124FDE99572}"/>
    <hyperlink ref="B1383" r:id="rId1163" xr:uid="{75BD809E-650C-4E5D-B073-E3D6E92549C4}"/>
    <hyperlink ref="B1384" r:id="rId1164" xr:uid="{81C6576F-4F68-4021-8043-1DA19738F422}"/>
    <hyperlink ref="B1385" r:id="rId1165" xr:uid="{DBA319B1-2264-4CCE-B581-1F565D436435}"/>
    <hyperlink ref="B1386" r:id="rId1166" xr:uid="{0F53E89C-CC25-4835-AB42-FB61A7BA6304}"/>
    <hyperlink ref="B1388" r:id="rId1167" xr:uid="{B9B16B46-432A-4D1D-881D-394DB95619DE}"/>
    <hyperlink ref="B1389" r:id="rId1168" xr:uid="{85FE6588-8C88-4FEE-9335-A4DB3C678F5B}"/>
    <hyperlink ref="B1390" r:id="rId1169" xr:uid="{D973749C-1914-4D19-AD19-25529E015019}"/>
    <hyperlink ref="B1391" r:id="rId1170" xr:uid="{8C9B5586-C942-4037-BD93-E3BCF40F1531}"/>
    <hyperlink ref="B1393" r:id="rId1171" xr:uid="{22164E32-C18E-4A9F-906F-DA210ABC2B10}"/>
    <hyperlink ref="B1394" r:id="rId1172" xr:uid="{4C7599F7-EBEE-4BCC-9B17-9AF8140CBEF7}"/>
    <hyperlink ref="B1395" r:id="rId1173" xr:uid="{3176DED3-4452-4C52-B1DE-1E67C47AF9BE}"/>
    <hyperlink ref="B1396" r:id="rId1174" xr:uid="{328C302B-4CFF-4C4B-80BF-E165908760ED}"/>
    <hyperlink ref="B1398" r:id="rId1175" xr:uid="{6BCA6B17-9517-4810-BAA6-EB829F2812D4}"/>
    <hyperlink ref="B1399" r:id="rId1176" xr:uid="{AC1EDB7B-0B17-46F4-BCB4-291DB8CFCACF}"/>
    <hyperlink ref="B1400" r:id="rId1177" xr:uid="{B91F2250-D4FB-4D05-AE98-C9ECF38683AE}"/>
    <hyperlink ref="B1401" r:id="rId1178" xr:uid="{2A04C11A-5CA4-4988-A219-36BF57A6A415}"/>
    <hyperlink ref="B1403" r:id="rId1179" xr:uid="{C413FFE6-6FE7-41F0-AEEA-96DEE42E6DEF}"/>
    <hyperlink ref="B1404" r:id="rId1180" xr:uid="{DDEA7D7D-5E14-4255-876B-C1024F8B6D10}"/>
    <hyperlink ref="B1405" r:id="rId1181" xr:uid="{84876E3A-937E-4E94-99C8-91E8AD4DEE3D}"/>
    <hyperlink ref="B1406" r:id="rId1182" xr:uid="{DAE54AC9-C1D5-437B-A0CE-EA46FB19B98F}"/>
    <hyperlink ref="B1408" r:id="rId1183" xr:uid="{091574E1-D9F1-443F-8C41-77422885022E}"/>
    <hyperlink ref="B1409" r:id="rId1184" xr:uid="{A789861F-0A2B-4EA3-AF71-B057CF5654BE}"/>
    <hyperlink ref="B1410" r:id="rId1185" xr:uid="{95E0243C-B8D1-4236-ACD8-6B2E7BDF7C03}"/>
    <hyperlink ref="B1411" r:id="rId1186" xr:uid="{6B932A37-80D4-4902-B3D8-977389313D18}"/>
    <hyperlink ref="B1413" r:id="rId1187" xr:uid="{CC3B05F3-03EE-42F9-9EE1-B05E9E352CF4}"/>
    <hyperlink ref="B1414" r:id="rId1188" xr:uid="{3D6A1EB7-1E3A-496D-8EBF-BF9E601CA14A}"/>
    <hyperlink ref="B1415" r:id="rId1189" xr:uid="{2BAC5824-7E9E-4E43-9A8A-D10291C42414}"/>
    <hyperlink ref="B1416" r:id="rId1190" xr:uid="{390DD1E4-5F89-4065-80AD-55EBD3D26341}"/>
    <hyperlink ref="B1418" r:id="rId1191" xr:uid="{02F4A158-A10C-41AA-9B65-9AD940921D51}"/>
    <hyperlink ref="B1419" r:id="rId1192" xr:uid="{CFF7FAE1-CB8D-44F7-B800-3D759B6E8DDB}"/>
    <hyperlink ref="B1420" r:id="rId1193" xr:uid="{FFBD0C48-0068-4DCC-8F26-08A9026B014D}"/>
    <hyperlink ref="B1421" r:id="rId1194" xr:uid="{611004D7-C472-41F4-91DE-0FD434E1B427}"/>
    <hyperlink ref="B1423" r:id="rId1195" xr:uid="{B7CD120C-A82D-4525-B442-A130698E232C}"/>
    <hyperlink ref="B1424" r:id="rId1196" xr:uid="{2EFBDBE5-BFC1-4F8D-B622-2E487A1C91F3}"/>
    <hyperlink ref="B1425" r:id="rId1197" xr:uid="{950D00F4-D74A-46EA-A8E7-0EF8804A4E55}"/>
    <hyperlink ref="B1426" r:id="rId1198" xr:uid="{DE6EAEE0-02A3-416C-8D56-95367446D2A6}"/>
    <hyperlink ref="B1428" r:id="rId1199" xr:uid="{EBA1C5E4-9B03-4517-97D1-CF8DD9AAC75D}"/>
    <hyperlink ref="B1429" r:id="rId1200" xr:uid="{C4A31929-7270-46C7-AD0D-53B143550D18}"/>
    <hyperlink ref="B1430" r:id="rId1201" xr:uid="{BB7B7C17-19EF-49A8-A5FA-BB3B05AD6BDE}"/>
    <hyperlink ref="B1431" r:id="rId1202" xr:uid="{80F48AC1-4CBF-46B1-A09C-EBE6454D04B9}"/>
    <hyperlink ref="B1433" r:id="rId1203" xr:uid="{FC1459A6-D7AE-481C-8BF7-C6100FDDB5C5}"/>
    <hyperlink ref="B1434" r:id="rId1204" xr:uid="{73FB5A1B-2CAB-4078-99CB-794C6A3E1610}"/>
    <hyperlink ref="B1435" r:id="rId1205" xr:uid="{FC4EA32A-7EFF-4E88-802D-1F5F15606720}"/>
    <hyperlink ref="B1436" r:id="rId1206" xr:uid="{5D502C65-70C8-4D04-9775-B8AE6D660563}"/>
    <hyperlink ref="B1438" r:id="rId1207" xr:uid="{C4E39DBC-5D93-4B0A-8411-E04B24C156B7}"/>
    <hyperlink ref="B1439" r:id="rId1208" xr:uid="{82EA1D5E-C132-4564-A0AE-5F139279C9E2}"/>
    <hyperlink ref="B1440" r:id="rId1209" xr:uid="{0BB89E57-CF78-453F-91CF-1864916DBA96}"/>
    <hyperlink ref="B1441" r:id="rId1210" xr:uid="{5772195B-2765-4C39-884E-C111B25EA748}"/>
    <hyperlink ref="B1443" r:id="rId1211" xr:uid="{7D4F9281-E1F2-471C-B3EC-00A19CB34AE4}"/>
    <hyperlink ref="B1444" r:id="rId1212" xr:uid="{4E22AD87-55C2-4660-93A5-E931D009F0BE}"/>
    <hyperlink ref="B1445" r:id="rId1213" xr:uid="{1564FA49-0175-47CD-85CC-B3B13699EAD5}"/>
    <hyperlink ref="B1446" r:id="rId1214" xr:uid="{51E4E508-62A5-4655-84EB-D32BDCEF738C}"/>
    <hyperlink ref="B1448" r:id="rId1215" xr:uid="{28CB59F9-CD0A-4380-9024-FF05E3E57805}"/>
    <hyperlink ref="B1449" r:id="rId1216" xr:uid="{0515D718-7AB0-41AA-917F-6F56BBC0FB5F}"/>
    <hyperlink ref="B1450" r:id="rId1217" xr:uid="{F54DD395-BE3C-473C-9578-F518C60841C3}"/>
    <hyperlink ref="B1451" r:id="rId1218" xr:uid="{1E3B690B-B319-4C47-BF7E-82AAAEC370EF}"/>
    <hyperlink ref="B1453" r:id="rId1219" xr:uid="{E622995A-F2B7-4CAF-8560-BAA36156FC3D}"/>
    <hyperlink ref="B1454" r:id="rId1220" xr:uid="{B26C5765-2866-43BC-A944-E4790334954F}"/>
    <hyperlink ref="B1455" r:id="rId1221" xr:uid="{85CE1435-E599-4ED8-AE18-62BF27DF24C6}"/>
    <hyperlink ref="B1456" r:id="rId1222" xr:uid="{2E084247-FC76-4958-95B9-3F532795F407}"/>
    <hyperlink ref="B1458" r:id="rId1223" xr:uid="{AFAD41C2-0D05-4D78-952D-0BE9204E1DD1}"/>
    <hyperlink ref="B1459" r:id="rId1224" xr:uid="{5FD4419D-36AD-48FD-AA8C-58D94DE9DA21}"/>
    <hyperlink ref="B1460" r:id="rId1225" xr:uid="{5A0B89DD-D57D-4A0B-BA44-C152B23409CC}"/>
    <hyperlink ref="B1461" r:id="rId1226" xr:uid="{E9AFD555-450D-46BD-BB91-C22C5BB22E26}"/>
    <hyperlink ref="B1463" r:id="rId1227" xr:uid="{C4C819D1-9040-4EE4-BE73-95A41399A0B3}"/>
    <hyperlink ref="B1464" r:id="rId1228" xr:uid="{B132435B-286D-4BAD-945A-571BE77153DB}"/>
    <hyperlink ref="B1465" r:id="rId1229" xr:uid="{7539B16C-233B-4C64-A7AB-D97B4826B769}"/>
    <hyperlink ref="B1466" r:id="rId1230" xr:uid="{D0D62423-5BA1-41F8-90E0-2E5612B8E68B}"/>
    <hyperlink ref="B1468" r:id="rId1231" xr:uid="{DF219554-6301-40BE-911A-E17D7677AA91}"/>
    <hyperlink ref="B1469" r:id="rId1232" xr:uid="{72423028-92C5-4342-BA6C-FE0B0FAEB47D}"/>
    <hyperlink ref="B1470" r:id="rId1233" xr:uid="{0EA81436-5879-49A0-9EB3-AA44C3D76D3E}"/>
    <hyperlink ref="B1471" r:id="rId1234" xr:uid="{C9FDB70E-C7F7-4FD6-B94A-2CC17CB7DF20}"/>
    <hyperlink ref="B1473" r:id="rId1235" xr:uid="{CE0A593B-72B4-46C7-B695-1A0F73E83C56}"/>
    <hyperlink ref="B1474" r:id="rId1236" xr:uid="{2F14659B-6D40-44B1-80A9-4A1635D64A65}"/>
    <hyperlink ref="B1475" r:id="rId1237" xr:uid="{65518A0F-1528-434B-9FD4-B448BBD0215C}"/>
    <hyperlink ref="B1476" r:id="rId1238" xr:uid="{A64E7F0C-0D6E-413C-AEEF-54AC07F3F864}"/>
    <hyperlink ref="B1478" r:id="rId1239" xr:uid="{D6F6D243-D957-465B-8EC6-3F57FE3E3685}"/>
    <hyperlink ref="B1479" r:id="rId1240" xr:uid="{C8E0F49B-B4DA-4A10-823B-0332842480AE}"/>
    <hyperlink ref="B1480" r:id="rId1241" xr:uid="{8E18F968-B539-4793-911D-715BD82C8644}"/>
    <hyperlink ref="B1481" r:id="rId1242" xr:uid="{B774B179-E9FA-470A-9DE4-9319DC958A4C}"/>
    <hyperlink ref="B1483" r:id="rId1243" xr:uid="{B4DCC912-1404-4DD4-90A7-B31642C4B02A}"/>
    <hyperlink ref="B1484" r:id="rId1244" xr:uid="{BDE2035D-668D-4818-BB04-E9843EA12FA1}"/>
    <hyperlink ref="B1485" r:id="rId1245" xr:uid="{31CD4B8D-16AF-4701-B02C-72F5F104CA06}"/>
    <hyperlink ref="B1486" r:id="rId1246" xr:uid="{716976BE-DA23-4BA8-89D7-F59F0CD2F4F2}"/>
    <hyperlink ref="B1488" r:id="rId1247" xr:uid="{B925D562-0639-4F91-AC12-39915542AE14}"/>
    <hyperlink ref="B1489" r:id="rId1248" xr:uid="{28CE7063-FE8E-4817-82FB-7E30EE501D40}"/>
    <hyperlink ref="B1490" r:id="rId1249" xr:uid="{F26EEB26-0D53-45B8-B43B-B3D0FB653898}"/>
    <hyperlink ref="B1491" r:id="rId1250" xr:uid="{8BC5D7F9-4E51-4CEA-8DDE-91DBF7979AF2}"/>
    <hyperlink ref="B1493" r:id="rId1251" xr:uid="{27A0397A-ADB4-4E22-8E62-54EE9301D724}"/>
    <hyperlink ref="B1494" r:id="rId1252" xr:uid="{8A9162D3-DAEE-4BFB-A54C-EB1560DFB2A4}"/>
    <hyperlink ref="B1495" r:id="rId1253" xr:uid="{B4A45563-8187-4793-BB70-7F42C59FA19D}"/>
    <hyperlink ref="B1496" r:id="rId1254" xr:uid="{5825D90F-3E70-4BE7-9538-660C87A3D380}"/>
    <hyperlink ref="B1498" r:id="rId1255" xr:uid="{1CC821C7-1081-4779-A74F-08E6CB51F215}"/>
    <hyperlink ref="B1499" r:id="rId1256" xr:uid="{D1764EA2-1818-42BA-8E06-44A21D491CB6}"/>
    <hyperlink ref="B1500" r:id="rId1257" xr:uid="{7776B688-9921-4027-996E-E2A8CE9D33AA}"/>
    <hyperlink ref="B1501" r:id="rId1258" xr:uid="{639D50D6-3F65-4E14-976A-361076D5BA86}"/>
    <hyperlink ref="B1503" r:id="rId1259" xr:uid="{E359D577-2EEB-4BFD-B082-34BA8CBBE290}"/>
    <hyperlink ref="B1504" r:id="rId1260" xr:uid="{E6B9EE50-48B8-4DB8-8B6E-24708DF30BF7}"/>
    <hyperlink ref="B1505" r:id="rId1261" xr:uid="{05051D14-5588-44F6-9A47-9D70CB4EEEE7}"/>
    <hyperlink ref="B1506" r:id="rId1262" xr:uid="{9269DC06-1D13-490B-9449-FF332B06CAB2}"/>
    <hyperlink ref="B1508" r:id="rId1263" xr:uid="{28A92EA4-7DB2-4CAC-B1DD-DA53CB131339}"/>
    <hyperlink ref="B1509" r:id="rId1264" xr:uid="{75D40F27-FE1D-40BC-8AD1-DE5E4A4E8EC2}"/>
    <hyperlink ref="B1510" r:id="rId1265" xr:uid="{333BB84E-8771-4991-A11C-01C318F2D6C3}"/>
    <hyperlink ref="B1511" r:id="rId1266" xr:uid="{97F312BE-0880-411F-9B29-39AFAAA56E54}"/>
    <hyperlink ref="B1513" r:id="rId1267" xr:uid="{6E217A32-34F6-4A02-A796-716374BEEAD2}"/>
    <hyperlink ref="B1514" r:id="rId1268" xr:uid="{B27513EA-B176-4D91-BDDE-691D21D06BCA}"/>
    <hyperlink ref="B1515" r:id="rId1269" xr:uid="{BCA4CE5D-05E9-4E98-801E-DD32B00EA07C}"/>
    <hyperlink ref="B1516" r:id="rId1270" xr:uid="{11E26D68-7C9F-42FA-A3D7-8F97FAC35C03}"/>
    <hyperlink ref="B1518" r:id="rId1271" xr:uid="{17C9ADC3-F007-4EB5-9BE7-8D15232096D2}"/>
    <hyperlink ref="B1519" r:id="rId1272" xr:uid="{8FB7B06A-5086-4498-B00D-FD139B563791}"/>
    <hyperlink ref="B1520" r:id="rId1273" xr:uid="{EBBE2E5F-94E8-46B0-86BB-94D1F4EEA7DB}"/>
    <hyperlink ref="B1521" r:id="rId1274" xr:uid="{DC3368D0-E156-4E48-9760-034A2CB4498E}"/>
    <hyperlink ref="B1523" r:id="rId1275" xr:uid="{741CE2E0-219A-4F4A-BA74-942E28EE59BD}"/>
    <hyperlink ref="B1524" r:id="rId1276" xr:uid="{65CAB2AD-8FD2-48F5-915F-60A4C87E2021}"/>
    <hyperlink ref="B1525" r:id="rId1277" xr:uid="{E62D81D9-0821-4F22-AF61-D0BAB9EC2EDC}"/>
    <hyperlink ref="B1526" r:id="rId1278" xr:uid="{716BCD79-5ECE-40A9-89CC-F1D80D48F570}"/>
    <hyperlink ref="B1528" r:id="rId1279" xr:uid="{35189C36-9D06-489E-9DDD-C336EB811675}"/>
    <hyperlink ref="B1529" r:id="rId1280" xr:uid="{536309DD-2E52-4B2E-B56C-937D95156CB7}"/>
    <hyperlink ref="B1530" r:id="rId1281" xr:uid="{7C3ED5EA-CD45-485B-A558-593E4CBC1C02}"/>
    <hyperlink ref="B1531" r:id="rId1282" xr:uid="{4A59EB1E-D75C-4527-A556-676AE1833B3E}"/>
    <hyperlink ref="B1533" r:id="rId1283" xr:uid="{63F6526F-84DF-4414-8D80-08F038328CB0}"/>
    <hyperlink ref="B1534" r:id="rId1284" xr:uid="{00DC7141-592D-4C92-AB13-C515A4F0D791}"/>
    <hyperlink ref="B1535" r:id="rId1285" xr:uid="{A2B7FA84-51CB-43A3-AB3C-817F3ED78020}"/>
    <hyperlink ref="B1536" r:id="rId1286" xr:uid="{B9AE4CC2-D72F-43C9-811D-C335A11B41BC}"/>
    <hyperlink ref="B1538" r:id="rId1287" xr:uid="{3E8773A6-23B7-4E9C-A9D7-657BE5E0A4DC}"/>
    <hyperlink ref="B1539" r:id="rId1288" xr:uid="{052189E7-DEE5-4EBF-BF9D-47DA9EEC94BE}"/>
    <hyperlink ref="B1540" r:id="rId1289" xr:uid="{77E1A587-FF7C-4502-8C9F-04F64A2FB927}"/>
    <hyperlink ref="B1541" r:id="rId1290" xr:uid="{85A14451-B372-4F49-AA91-D0F01D09F9B6}"/>
    <hyperlink ref="B1543" r:id="rId1291" xr:uid="{4E85ED55-C9E4-4B6A-A1C6-B4D16E852460}"/>
    <hyperlink ref="B1544" r:id="rId1292" xr:uid="{CD62088C-50C3-4695-90AE-8200347DB44B}"/>
    <hyperlink ref="B1545" r:id="rId1293" xr:uid="{71A562DC-8AC2-4303-A023-408DB0DFB732}"/>
    <hyperlink ref="B1546" r:id="rId1294" xr:uid="{9603074C-BB1E-4F66-ABF7-4DD69622C067}"/>
    <hyperlink ref="B1548" r:id="rId1295" xr:uid="{CAC23B6A-D154-45A9-9CF8-12A534C4CF96}"/>
    <hyperlink ref="B1549" r:id="rId1296" xr:uid="{93C6C68B-4FCB-4707-9DFC-9BD38D868EE5}"/>
    <hyperlink ref="B1550" r:id="rId1297" xr:uid="{9134ED78-9A70-4908-990C-EAA7A7DB02B7}"/>
    <hyperlink ref="B1551" r:id="rId1298" xr:uid="{4DEAE17B-607E-4D2C-85B3-813A1A0AD045}"/>
    <hyperlink ref="B1553" r:id="rId1299" xr:uid="{58B25FEA-D4AE-4F62-B132-E37729A2C9EC}"/>
    <hyperlink ref="B1554" r:id="rId1300" xr:uid="{44E9EB9A-C452-4678-9260-8DFF2ADEA134}"/>
    <hyperlink ref="B1555" r:id="rId1301" xr:uid="{BE6A75E2-4EF7-4A1B-B038-13797B087A6D}"/>
    <hyperlink ref="B1556" r:id="rId1302" xr:uid="{2C28ED86-197D-4E78-AC3F-BB796FC934B3}"/>
    <hyperlink ref="B1558" r:id="rId1303" xr:uid="{30244846-2E72-4C82-A397-3CEE468D9575}"/>
    <hyperlink ref="B1559" r:id="rId1304" xr:uid="{8173D68D-7B23-47E4-9C76-27BED44778F1}"/>
    <hyperlink ref="B1560" r:id="rId1305" xr:uid="{1D43EBE9-B83D-49EC-8EA8-8C6ADAB782E6}"/>
    <hyperlink ref="B1561" r:id="rId1306" xr:uid="{F84CA5C2-746D-4D63-AD7E-86751700B630}"/>
    <hyperlink ref="B1563" r:id="rId1307" xr:uid="{08BF5398-7D9F-42F4-970A-0B519BD59BDB}"/>
    <hyperlink ref="B1564" r:id="rId1308" xr:uid="{2C8D4747-6191-4270-8FA5-09FB51880FCA}"/>
    <hyperlink ref="B1565" r:id="rId1309" xr:uid="{6EF1F6F0-709D-4185-8AEB-3CCD6F4710DE}"/>
    <hyperlink ref="B1566" r:id="rId1310" xr:uid="{DE25C150-7A8A-479C-A6F5-0F4CE4D6657D}"/>
    <hyperlink ref="B1568" r:id="rId1311" xr:uid="{2EABC31D-FFE6-4BC8-AC0D-F6F1602EEF7F}"/>
    <hyperlink ref="B1569" r:id="rId1312" xr:uid="{E0EE83AD-5D37-480C-A9EC-0EAFDD9A9D81}"/>
    <hyperlink ref="B1570" r:id="rId1313" xr:uid="{41F8D435-ED8F-4576-B8FC-0732E1571DB1}"/>
    <hyperlink ref="B1571" r:id="rId1314" xr:uid="{EC5C8B62-7F98-4788-A9CB-5DFA813CA1B5}"/>
    <hyperlink ref="B1573" r:id="rId1315" xr:uid="{22E1FFA2-C2C6-4DA7-BA47-E5EB54E187DF}"/>
    <hyperlink ref="B1574" r:id="rId1316" xr:uid="{81027DC5-CA2E-48A0-B8CF-1AF18DAE3ACE}"/>
    <hyperlink ref="B1575" r:id="rId1317" xr:uid="{D617AAA9-DF8F-4719-826B-8DA82B495493}"/>
    <hyperlink ref="B1576" r:id="rId1318" xr:uid="{82183641-548F-4FA2-ADD1-C6B9107367EB}"/>
    <hyperlink ref="B1578" r:id="rId1319" xr:uid="{ED41907C-629F-40B5-BB5F-D1A550466C77}"/>
    <hyperlink ref="B1579" r:id="rId1320" xr:uid="{6BC32BEE-C7DE-48E6-8777-F8E81A92ECB0}"/>
    <hyperlink ref="B1580" r:id="rId1321" xr:uid="{11E982D1-F56B-4946-AA3D-05D94C13329C}"/>
    <hyperlink ref="B1581" r:id="rId1322" xr:uid="{5CFB0233-32F8-4555-BE95-0862766FC78A}"/>
    <hyperlink ref="B1583" r:id="rId1323" xr:uid="{FE40DA1F-34D7-4F90-A09D-156D2420BE72}"/>
    <hyperlink ref="B1584" r:id="rId1324" xr:uid="{AD8B03E7-BD9E-46C5-8C8D-8C2CCF55D6FF}"/>
    <hyperlink ref="B1585" r:id="rId1325" xr:uid="{4AB8D9E5-6C0D-41C0-9181-93D757A255B0}"/>
    <hyperlink ref="B1586" r:id="rId1326" xr:uid="{03BDB07C-D9A7-491C-A63C-64D0E8D71F68}"/>
    <hyperlink ref="B1588" r:id="rId1327" xr:uid="{F71C7B55-88D0-4612-BAD7-4FAF51E97A68}"/>
    <hyperlink ref="B1589" r:id="rId1328" xr:uid="{8E58DDDD-2592-4ACF-A53E-F7617BBA8D31}"/>
    <hyperlink ref="B1590" r:id="rId1329" xr:uid="{34ECDF7C-D364-4229-8C17-CE03B0DEBAD7}"/>
    <hyperlink ref="B1591" r:id="rId1330" xr:uid="{F3D24DD8-A29D-4A77-BB70-7E84180699D7}"/>
    <hyperlink ref="B1593" r:id="rId1331" xr:uid="{7E82B6BB-2B43-4519-830D-85AD1216E1A5}"/>
    <hyperlink ref="B1594" r:id="rId1332" xr:uid="{F9DF4191-BA61-4526-9B32-34A35D239F30}"/>
    <hyperlink ref="B1595" r:id="rId1333" xr:uid="{871C926E-8C42-47EE-A8C9-52E9903A98AF}"/>
    <hyperlink ref="B1596" r:id="rId1334" xr:uid="{5AB8FFEA-D6FC-4C57-8907-1D17523FD81B}"/>
    <hyperlink ref="B1598" r:id="rId1335" xr:uid="{3854ACFC-00F2-4547-8CC1-446F1970F4C8}"/>
    <hyperlink ref="B1599" r:id="rId1336" xr:uid="{EDA50699-196E-43FA-8C78-15FC0DA3E194}"/>
    <hyperlink ref="B1600" r:id="rId1337" xr:uid="{AE252FC6-4A6B-4583-AA0F-3080261E1E8A}"/>
    <hyperlink ref="B1601" r:id="rId1338" xr:uid="{5581F21A-9BAB-44DD-BB35-872FDD45CB5E}"/>
    <hyperlink ref="B1603" r:id="rId1339" xr:uid="{855870D7-BCDF-421B-B1C2-06130FDB38E9}"/>
    <hyperlink ref="B1604" r:id="rId1340" xr:uid="{BC8683F7-1AF9-4E5A-966F-F777100DAF71}"/>
    <hyperlink ref="B1605" r:id="rId1341" xr:uid="{AB3F1E3F-D987-4BDF-AC98-08B099069B84}"/>
    <hyperlink ref="B1606" r:id="rId1342" xr:uid="{7CCD2B0C-9BA4-475A-BFE1-99C9B03286BE}"/>
    <hyperlink ref="B1608" r:id="rId1343" xr:uid="{CDA25B4A-CCDC-4110-831A-8457D2AAE258}"/>
    <hyperlink ref="B1609" r:id="rId1344" xr:uid="{35676E6A-EB86-416B-8226-BEE366D645B3}"/>
    <hyperlink ref="B1610" r:id="rId1345" xr:uid="{DF61C23E-C7F3-4318-B045-A951D3F2ABEE}"/>
    <hyperlink ref="B1611" r:id="rId1346" xr:uid="{853E0C4C-D640-4CBD-AAEA-3E4A8CB764CF}"/>
    <hyperlink ref="B1613" r:id="rId1347" xr:uid="{187DB671-ACD6-4432-B690-28694D984895}"/>
    <hyperlink ref="B1614" r:id="rId1348" xr:uid="{DAA19467-0D8A-45CC-B294-DE0A3F17BFC0}"/>
    <hyperlink ref="B1615" r:id="rId1349" xr:uid="{BB35D0A6-0607-4F44-9688-F38625C6CC6A}"/>
    <hyperlink ref="B1616" r:id="rId1350" xr:uid="{9CCDCE0D-9506-4335-B386-B34B620062DF}"/>
    <hyperlink ref="B1617" r:id="rId1351" xr:uid="{AC47E9ED-722B-4F1D-9EA4-114581E8ECCD}"/>
    <hyperlink ref="B1622" r:id="rId1352" xr:uid="{298A7B6A-5065-4A46-931D-F517347CB4E2}"/>
    <hyperlink ref="B1627" r:id="rId1353" xr:uid="{C4A6F706-4417-4F3B-B855-FF54727D3AAB}"/>
    <hyperlink ref="B2102" r:id="rId1354" xr:uid="{E247ADEF-8701-4AE5-921A-6B54CACF45E9}"/>
    <hyperlink ref="B1632" r:id="rId1355" xr:uid="{8220CAF3-2212-4B42-8A0E-5F4E14D7C4BA}"/>
    <hyperlink ref="B2106" r:id="rId1356" xr:uid="{30056D7D-4566-47A5-98E5-78060AE35257}"/>
    <hyperlink ref="B1637" r:id="rId1357" display="Link" xr:uid="{2CA10D92-F6C9-432C-A9E8-4F7CF8F63DFF}"/>
    <hyperlink ref="B1642" r:id="rId1358" xr:uid="{4EDF2978-A04A-4CAD-BB86-599A4757D2CB}"/>
    <hyperlink ref="B1647" r:id="rId1359" xr:uid="{89E07E42-5CBE-4E74-9320-CB3A9928A3A8}"/>
    <hyperlink ref="B1652" r:id="rId1360" xr:uid="{8433C8FA-C382-493C-BADC-59C6BF52B4FC}"/>
    <hyperlink ref="B1657" r:id="rId1361" xr:uid="{CBFC9809-A2BD-4CA1-89A3-7E76576A6468}"/>
    <hyperlink ref="B1662" r:id="rId1362" xr:uid="{C98403DA-37E5-4615-8B54-BB713A1A9C5A}"/>
    <hyperlink ref="B1667" r:id="rId1363" xr:uid="{2F386E7C-0A23-4043-937E-EEB2F650B713}"/>
    <hyperlink ref="B1672" r:id="rId1364" xr:uid="{E6EE4C71-1C6C-498A-AD33-EC76D2BDAAF9}"/>
    <hyperlink ref="B1677" r:id="rId1365" xr:uid="{DB4B04FB-4397-4CDF-8198-CE7EA6706D19}"/>
    <hyperlink ref="B1682" r:id="rId1366" xr:uid="{98608301-5007-4418-B01E-CBA3D0FE80A5}"/>
    <hyperlink ref="B1687" r:id="rId1367" xr:uid="{0A8D1978-5FDE-41B7-85B4-224508F35395}"/>
    <hyperlink ref="B1692" r:id="rId1368" xr:uid="{B572595F-E858-4130-BE3F-72797B0821F9}"/>
    <hyperlink ref="B1697" r:id="rId1369" xr:uid="{D56C6574-6094-4B4A-B406-02A8C7A74E8B}"/>
    <hyperlink ref="B1702" r:id="rId1370" xr:uid="{28555D11-A808-4547-ACAC-C1A345E79FDC}"/>
    <hyperlink ref="B1707" r:id="rId1371" xr:uid="{2ED6CEDD-9E7E-4222-A766-DBE555FA8C50}"/>
    <hyperlink ref="B1712" r:id="rId1372" xr:uid="{8FB6550D-4C6D-44A8-8237-3FECED2BF1E2}"/>
    <hyperlink ref="B1717" r:id="rId1373" xr:uid="{72D3BF1C-8487-4A80-9264-C32FB3A67347}"/>
    <hyperlink ref="B1722" r:id="rId1374" xr:uid="{D3C39386-D3BD-47B2-8E4D-0460C65F9638}"/>
    <hyperlink ref="B1727" r:id="rId1375" xr:uid="{CB899751-F3D7-4A47-A004-90D3AA90061A}"/>
    <hyperlink ref="B1732" r:id="rId1376" xr:uid="{4B1A079B-374B-4D62-9606-574ACDAC7B93}"/>
    <hyperlink ref="B1737" r:id="rId1377" xr:uid="{E07B9FE6-6283-42D0-A7D7-CCD546E783BE}"/>
    <hyperlink ref="B1742" r:id="rId1378" xr:uid="{35207C58-3A19-4910-816B-429C6047E6D0}"/>
    <hyperlink ref="B1747" r:id="rId1379" xr:uid="{984CCC4A-0FEA-4D58-AD3E-2D8B0073ABC7}"/>
    <hyperlink ref="B1752" r:id="rId1380" xr:uid="{469A265C-68FF-4DF3-AF6F-4BFE5C542889}"/>
    <hyperlink ref="B1757" r:id="rId1381" xr:uid="{B9BEE93A-9E8F-41A9-8B59-AA10B73B5878}"/>
    <hyperlink ref="B1762" r:id="rId1382" xr:uid="{69C1B776-9322-4A36-9719-0FF30B886E14}"/>
    <hyperlink ref="B1767" r:id="rId1383" xr:uid="{372BF001-0236-44A3-9093-000CBC39494C}"/>
    <hyperlink ref="B1772" r:id="rId1384" xr:uid="{013F9E3F-52CC-43B4-B02E-1672A3B3082A}"/>
    <hyperlink ref="B1777" r:id="rId1385" xr:uid="{2062ED31-5453-4C7E-895E-FB09BB6BD57A}"/>
    <hyperlink ref="B1782" r:id="rId1386" xr:uid="{DA38EB08-380C-46EF-9376-4F0DC21DDE5F}"/>
    <hyperlink ref="B1787" r:id="rId1387" xr:uid="{E123EDA9-7E5D-4B9A-8879-1609DB739159}"/>
    <hyperlink ref="B1792" r:id="rId1388" xr:uid="{4F207C9B-026B-41E9-9C24-FFA2D79F8EB9}"/>
    <hyperlink ref="B1797" r:id="rId1389" xr:uid="{D50C5BE7-4337-4B1E-8893-52AB3008992B}"/>
    <hyperlink ref="B1802" r:id="rId1390" xr:uid="{ECB6C2E8-B1AA-4589-B62C-5189149D74F2}"/>
    <hyperlink ref="B1807" r:id="rId1391" xr:uid="{26EE3EC4-F5E8-408F-A948-44F0908B7CFC}"/>
    <hyperlink ref="B1812" r:id="rId1392" xr:uid="{F1291E34-8DBA-4573-A55F-93858F74674D}"/>
    <hyperlink ref="B1817" r:id="rId1393" xr:uid="{DAA83EFD-ED3C-4D54-A5F1-ADD64B670D2A}"/>
    <hyperlink ref="B1822" r:id="rId1394" xr:uid="{DCF7F8C5-058B-4734-8B3E-23E1FF0873D2}"/>
    <hyperlink ref="B1827" r:id="rId1395" xr:uid="{34FF9C40-F91A-44F8-9A56-34BF3E252528}"/>
    <hyperlink ref="B1832" r:id="rId1396" xr:uid="{31EBEE8E-1A46-4B6F-AD66-00C2B3134E7C}"/>
    <hyperlink ref="B1837" r:id="rId1397" xr:uid="{6AF0C183-07AF-4042-85CB-29C17A9B92E0}"/>
    <hyperlink ref="B1842" r:id="rId1398" xr:uid="{E17140B1-0636-43A3-B144-F549D619E678}"/>
    <hyperlink ref="B1847" r:id="rId1399" xr:uid="{61C94307-BAE5-4360-8268-E5AE9AE510F5}"/>
    <hyperlink ref="B1618" r:id="rId1400" xr:uid="{2236B807-9F83-4D3D-9E9E-E858539D4362}"/>
    <hyperlink ref="B1619" r:id="rId1401" xr:uid="{33A56B3B-3956-47F2-B1C2-AB9CE878C28D}"/>
    <hyperlink ref="B1620" r:id="rId1402" xr:uid="{02CC70BF-87A6-478A-91B0-A675CF2F3F0F}"/>
    <hyperlink ref="B1621" r:id="rId1403" xr:uid="{1963CE54-DEE7-41BF-A130-F67C30AF5B0B}"/>
    <hyperlink ref="B1623" r:id="rId1404" xr:uid="{7CFF874E-30C1-44A3-9160-883A7371F8D3}"/>
    <hyperlink ref="B1624" r:id="rId1405" xr:uid="{EC599355-2A0E-4A1E-AA68-EC69509AF076}"/>
    <hyperlink ref="B1625" r:id="rId1406" xr:uid="{F5EE2DB5-F35E-4F8A-8A4B-F35A6BE3FAD4}"/>
    <hyperlink ref="B1626" r:id="rId1407" xr:uid="{E54B4197-9D68-42F1-8268-3DDE1D466886}"/>
    <hyperlink ref="B1628" r:id="rId1408" xr:uid="{57068BEE-77A8-411B-A214-516AAF8928AA}"/>
    <hyperlink ref="B1629" r:id="rId1409" xr:uid="{471EE732-2BE2-45D3-BAFD-C5958CF43AF0}"/>
    <hyperlink ref="B1630" r:id="rId1410" xr:uid="{CB6E74FC-DEB1-4335-AE03-6A869FB9B116}"/>
    <hyperlink ref="B1631" r:id="rId1411" xr:uid="{AEFD5B1C-78A2-48FD-8420-C62AD870F12F}"/>
    <hyperlink ref="B2103" r:id="rId1412" xr:uid="{826AFC42-3C4B-40C6-BBED-4B60856A1D77}"/>
    <hyperlink ref="B2104" r:id="rId1413" xr:uid="{E75C7A56-9A9B-4163-AC64-44C3B3F9BB83}"/>
    <hyperlink ref="B2105" r:id="rId1414" xr:uid="{2ABA5984-C1BB-4975-9BA8-3E348E44C4DF}"/>
    <hyperlink ref="B2111" r:id="rId1415" xr:uid="{82AD5A26-7E07-4964-9777-B4F5FA444C36}"/>
    <hyperlink ref="B1633" r:id="rId1416" xr:uid="{06E39D8A-F097-477D-AE67-39438C469EDC}"/>
    <hyperlink ref="B1634" r:id="rId1417" xr:uid="{645A7864-1502-49C7-A709-CA9963FF0D40}"/>
    <hyperlink ref="B1635" r:id="rId1418" xr:uid="{FC67B5FD-3CDC-4608-BC57-921D69F4B10E}"/>
    <hyperlink ref="B1636" r:id="rId1419" xr:uid="{9A0BF7C1-1BF6-4AC3-8441-BD6BA37610B6}"/>
    <hyperlink ref="B2107" r:id="rId1420" xr:uid="{2AB2AAEC-66B4-4AD2-B5E2-69873FE2ED55}"/>
    <hyperlink ref="B2108" r:id="rId1421" xr:uid="{19FE44A2-5739-4229-8430-81AAF3FDCB00}"/>
    <hyperlink ref="B2109" r:id="rId1422" xr:uid="{6534C5C4-0607-4A4F-98EE-19FBD00672A2}"/>
    <hyperlink ref="B2110" r:id="rId1423" xr:uid="{871B295C-95B8-44DB-AA1E-8A6C161E58D6}"/>
    <hyperlink ref="B1643" r:id="rId1424" xr:uid="{D917CED5-88E0-4B50-AFF9-DBEC4FF78BA4}"/>
    <hyperlink ref="B1644" r:id="rId1425" xr:uid="{BE0A52F8-693B-41D2-8E98-E87AA2BF9FAD}"/>
    <hyperlink ref="B1645" r:id="rId1426" xr:uid="{8342809D-A1B9-4710-BC0E-06B43695CBD0}"/>
    <hyperlink ref="B1646" r:id="rId1427" xr:uid="{266C738C-1091-4EF5-8CAD-AFE894C4F9CA}"/>
    <hyperlink ref="B1648" r:id="rId1428" xr:uid="{9B567209-ABF9-4FF9-953D-6C3B35ADE805}"/>
    <hyperlink ref="B1649" r:id="rId1429" xr:uid="{12B3A5FE-068D-4118-81A9-72180072EA09}"/>
    <hyperlink ref="B1650" r:id="rId1430" xr:uid="{04C72F6A-0F3A-438F-A5CC-3FD78830224C}"/>
    <hyperlink ref="B1651" r:id="rId1431" xr:uid="{E934DA8C-37C7-41C9-9E0B-22EDD5BE2B55}"/>
    <hyperlink ref="B1653" r:id="rId1432" xr:uid="{7CE62C14-C31C-4333-9388-568302919B49}"/>
    <hyperlink ref="B1654" r:id="rId1433" xr:uid="{6208CBC5-306E-497E-8E57-D9B81683D640}"/>
    <hyperlink ref="B1655" r:id="rId1434" xr:uid="{D3194223-486A-4156-95E1-1D392AD49DB7}"/>
    <hyperlink ref="B1656" r:id="rId1435" xr:uid="{58B21F9A-72F9-444E-9A4B-ADB69A18BB0B}"/>
    <hyperlink ref="B1658" r:id="rId1436" xr:uid="{F87A9A94-5AF9-41B8-927E-A6B42437C066}"/>
    <hyperlink ref="B1659" r:id="rId1437" xr:uid="{DCAB253A-9B3D-4B78-8B1F-3B44F18DEE3D}"/>
    <hyperlink ref="B1660" r:id="rId1438" xr:uid="{5BAA3583-F2E6-4B5B-8E67-1E7182A7AF1D}"/>
    <hyperlink ref="B1661" r:id="rId1439" xr:uid="{5F6D3041-D7D7-4C06-907B-A8817773EE54}"/>
    <hyperlink ref="B1663" r:id="rId1440" xr:uid="{AD792A26-FE30-47C5-97CA-FD9DB3133EF6}"/>
    <hyperlink ref="B1664" r:id="rId1441" xr:uid="{AE62D6D5-1E3A-4D75-B390-8C9CA4397864}"/>
    <hyperlink ref="B1665" r:id="rId1442" xr:uid="{E3D67A0B-118E-41C4-BA54-1AF36704415F}"/>
    <hyperlink ref="B1666" r:id="rId1443" xr:uid="{0C8B314A-7E93-4306-A9C0-996DE0AEE58C}"/>
    <hyperlink ref="B1668" r:id="rId1444" xr:uid="{5DBDDE1B-90A9-4BEE-9827-C2883C3415AF}"/>
    <hyperlink ref="B1669" r:id="rId1445" xr:uid="{EE662D4C-C276-47BF-BFB7-B68ACCA99546}"/>
    <hyperlink ref="B1670" r:id="rId1446" xr:uid="{65D1ECEE-0047-4FD3-A77A-CDA70A2AB343}"/>
    <hyperlink ref="B1671" r:id="rId1447" xr:uid="{F0B53106-D154-4BDD-BAB0-E882D93366D3}"/>
    <hyperlink ref="B1673" r:id="rId1448" xr:uid="{17F10528-FD7D-41A9-8E5D-AC8D39991DF1}"/>
    <hyperlink ref="B1674" r:id="rId1449" xr:uid="{AF34D936-4227-402E-910C-BA442D8B3269}"/>
    <hyperlink ref="B1675" r:id="rId1450" xr:uid="{CF6520AF-B273-4235-8367-D083696A3C1E}"/>
    <hyperlink ref="B1676" r:id="rId1451" xr:uid="{6AAB95FC-CAC6-4C14-B4F5-934D81CC74C4}"/>
    <hyperlink ref="B1678" r:id="rId1452" xr:uid="{D9EA69CD-04CB-4EB5-B6F5-FBE407FCB3AF}"/>
    <hyperlink ref="B1679" r:id="rId1453" xr:uid="{21B52716-E59D-4788-8E2A-108B33320447}"/>
    <hyperlink ref="B1680" r:id="rId1454" xr:uid="{55DB6F7E-9977-4E81-9D08-32E5D7F8689B}"/>
    <hyperlink ref="B1681" r:id="rId1455" xr:uid="{6F8C1EF3-6B84-4E21-AE6E-4E1BEB642159}"/>
    <hyperlink ref="B1683" r:id="rId1456" xr:uid="{B3EB133D-3612-462D-A050-3B7DA4C80E84}"/>
    <hyperlink ref="B1684" r:id="rId1457" xr:uid="{7E065227-25FB-47C4-809C-6489856953F0}"/>
    <hyperlink ref="B1685" r:id="rId1458" xr:uid="{11521158-7E96-4BD6-A83B-A83D56782B5A}"/>
    <hyperlink ref="B1686" r:id="rId1459" xr:uid="{08BA77ED-B8E9-484D-90A7-474A3E575915}"/>
    <hyperlink ref="B1688" r:id="rId1460" xr:uid="{913986E0-8361-4504-8BC8-A7047C55EC71}"/>
    <hyperlink ref="B1689" r:id="rId1461" xr:uid="{CD091589-2BE0-45AB-8169-F703481153D2}"/>
    <hyperlink ref="B1690" r:id="rId1462" xr:uid="{AA1EA351-DB35-4C05-BA34-271F9F0769EE}"/>
    <hyperlink ref="B1691" r:id="rId1463" xr:uid="{FE90ABAB-FA9A-49E4-BA35-5EB60D9ECE42}"/>
    <hyperlink ref="B1693" r:id="rId1464" xr:uid="{61FC360F-612F-4457-9B38-D8077449F524}"/>
    <hyperlink ref="B1694" r:id="rId1465" xr:uid="{EA6F3936-A11F-4ED3-9B61-D1711849BDFF}"/>
    <hyperlink ref="B1695" r:id="rId1466" xr:uid="{522B8675-9C6F-4C58-99EF-7A54155E6DB1}"/>
    <hyperlink ref="B1696" r:id="rId1467" xr:uid="{153DFD9C-B434-40EC-8818-6B20EC2B4461}"/>
    <hyperlink ref="B1698" r:id="rId1468" xr:uid="{0202F410-8B7A-4E51-9850-09BFBFF98C1D}"/>
    <hyperlink ref="B1699" r:id="rId1469" xr:uid="{046C5EC5-7BC2-42CD-BE17-12961090912F}"/>
    <hyperlink ref="B1700" r:id="rId1470" xr:uid="{66369B24-2666-4574-91C8-0F29AC31DAC8}"/>
    <hyperlink ref="B1701" r:id="rId1471" xr:uid="{4C081C07-5AA8-40E4-B854-A96ED97F3E50}"/>
    <hyperlink ref="B1703" r:id="rId1472" xr:uid="{6C21BF73-23EC-4722-9245-F63776B40491}"/>
    <hyperlink ref="B1704" r:id="rId1473" xr:uid="{71C8753D-6307-4B2C-87AC-63F073E98FCB}"/>
    <hyperlink ref="B1705" r:id="rId1474" xr:uid="{D47292B6-3B83-47FD-835C-086895D826C0}"/>
    <hyperlink ref="B1706" r:id="rId1475" xr:uid="{B404651A-9387-4A84-944E-2CBA3D66E751}"/>
    <hyperlink ref="B1708" r:id="rId1476" xr:uid="{9B093C26-9C72-428B-9F13-11B16FA54867}"/>
    <hyperlink ref="B1709" r:id="rId1477" xr:uid="{FE73DF62-93C9-453C-8BB3-C362AE494C5D}"/>
    <hyperlink ref="B1710" r:id="rId1478" xr:uid="{1ED0DDD0-97E9-404C-B2F9-F19D23D5EF8F}"/>
    <hyperlink ref="B1711" r:id="rId1479" xr:uid="{3225BDC1-2144-4851-B2E4-D2AA9CEF7B33}"/>
    <hyperlink ref="B1713" r:id="rId1480" xr:uid="{DAF3A2C5-B9AC-4220-88E3-EFD97B383172}"/>
    <hyperlink ref="B1714" r:id="rId1481" xr:uid="{5061CA0D-4CE5-4C7D-806F-66440C88D00F}"/>
    <hyperlink ref="B1715" r:id="rId1482" xr:uid="{5BDD1AB4-2AC3-4702-BD9D-3E7D43560227}"/>
    <hyperlink ref="B1716" r:id="rId1483" xr:uid="{155E0872-72C7-4532-A6C0-B7416249E4FF}"/>
    <hyperlink ref="B1718" r:id="rId1484" xr:uid="{501E0E7E-8779-42D5-ACB4-6B1D35437E1C}"/>
    <hyperlink ref="B1719" r:id="rId1485" xr:uid="{96D7E6D2-7FF6-46A9-BBD4-A8DF84FB2B75}"/>
    <hyperlink ref="B1720" r:id="rId1486" xr:uid="{E62D9453-B1C4-4610-9261-97185BCB019E}"/>
    <hyperlink ref="B1721" r:id="rId1487" xr:uid="{CECA80EE-FC8D-4251-9FC0-BAECA8AA9ADF}"/>
    <hyperlink ref="B1723" r:id="rId1488" xr:uid="{D3538195-7216-46E4-89CB-8200FB0BFDA7}"/>
    <hyperlink ref="B1724" r:id="rId1489" xr:uid="{10CC36A6-87B7-4FE2-9B54-E8039D39FDDB}"/>
    <hyperlink ref="B1725" r:id="rId1490" xr:uid="{382EEE0C-416C-4049-97C0-0BBE568CC6A2}"/>
    <hyperlink ref="B1726" r:id="rId1491" xr:uid="{CA193648-C185-4C29-A7A7-90EE679BF14B}"/>
    <hyperlink ref="B1728" r:id="rId1492" xr:uid="{180E8E35-A3A3-4946-AA7B-60D5EE0B41BA}"/>
    <hyperlink ref="B1729" r:id="rId1493" xr:uid="{E4064502-D994-4E9F-A0A3-2A4BCBCE95A1}"/>
    <hyperlink ref="B1730" r:id="rId1494" xr:uid="{0B63FB22-99C1-4A92-8A57-86EC349650D4}"/>
    <hyperlink ref="B1731" r:id="rId1495" xr:uid="{C27FAA3B-E542-4E73-A247-CAE1F859AD8E}"/>
    <hyperlink ref="B1733" r:id="rId1496" xr:uid="{72A2B95E-F8E1-4FDC-A2A8-D46AF5CCD4B6}"/>
    <hyperlink ref="B1734" r:id="rId1497" xr:uid="{46EEFA59-7339-452A-9CFC-48D392CE2AD8}"/>
    <hyperlink ref="B1735" r:id="rId1498" xr:uid="{FE197E9A-A37C-46CA-AC59-93829B5CEB2D}"/>
    <hyperlink ref="B1736" r:id="rId1499" xr:uid="{DA6653B7-ED1A-49C4-96B7-81432486D827}"/>
    <hyperlink ref="B1738" r:id="rId1500" xr:uid="{91E1FAC7-BEBB-4338-9D8B-15E4AC8DC71D}"/>
    <hyperlink ref="B1739" r:id="rId1501" xr:uid="{954C7E4A-00BC-4745-B86A-CC8A16071FED}"/>
    <hyperlink ref="B1740" r:id="rId1502" xr:uid="{BF98AC5E-7D25-463D-A8AD-589EBCEEBE92}"/>
    <hyperlink ref="B1741" r:id="rId1503" xr:uid="{EFAF9691-EFB4-4E18-9BBC-4338A7CB50D7}"/>
    <hyperlink ref="B1743" r:id="rId1504" xr:uid="{BE85997A-FE79-43CE-A100-5658B6C9C059}"/>
    <hyperlink ref="B1744" r:id="rId1505" xr:uid="{B019FC17-BE31-4674-858F-D881EF844F46}"/>
    <hyperlink ref="B1745" r:id="rId1506" xr:uid="{116C00B5-3E0D-455D-A16A-BC36206BA167}"/>
    <hyperlink ref="B1746" r:id="rId1507" xr:uid="{17DFF25C-77C0-42E0-B706-34BA825A558C}"/>
    <hyperlink ref="B1748" r:id="rId1508" xr:uid="{7A01178C-B42A-4407-A098-D760234E52BA}"/>
    <hyperlink ref="B1749" r:id="rId1509" xr:uid="{19F1DB9B-D27B-4A81-A223-A889975D3401}"/>
    <hyperlink ref="B1750" r:id="rId1510" xr:uid="{C8243C83-E10C-44E5-935B-CBBD177AFB01}"/>
    <hyperlink ref="B1751" r:id="rId1511" xr:uid="{0E03F4E8-A6D2-473D-A147-2A94C1CCDAEE}"/>
    <hyperlink ref="B1753" r:id="rId1512" xr:uid="{76F31D53-E33A-4C02-A66C-D4C2318771CF}"/>
    <hyperlink ref="B1754" r:id="rId1513" xr:uid="{DC762207-6E5E-4BF8-94D1-20AB77BE9960}"/>
    <hyperlink ref="B1755" r:id="rId1514" xr:uid="{6E46A7AF-6E02-480E-90D6-4CB3CA549D13}"/>
    <hyperlink ref="B1756" r:id="rId1515" xr:uid="{6C2505B1-974E-4A88-B049-E8B1FD9EB85A}"/>
    <hyperlink ref="B1758" r:id="rId1516" xr:uid="{32434DF6-61DE-4746-965C-93F16A94660B}"/>
    <hyperlink ref="B1759" r:id="rId1517" xr:uid="{66573E1B-7A00-4BFF-A125-8BD8AF1418A5}"/>
    <hyperlink ref="B1760" r:id="rId1518" xr:uid="{AAE46DD7-4BDD-473C-A1ED-F24F4E288045}"/>
    <hyperlink ref="B1761" r:id="rId1519" xr:uid="{856E730E-A753-4C0B-A61B-6045302966E6}"/>
    <hyperlink ref="B1763" r:id="rId1520" xr:uid="{E4C70CDF-DC52-4DDD-A4BE-453FCC6C32B3}"/>
    <hyperlink ref="B1764" r:id="rId1521" xr:uid="{0002D82C-E296-414E-96EC-0E94748AF3CE}"/>
    <hyperlink ref="B1765" r:id="rId1522" xr:uid="{57D9E415-14E2-4F42-AB1A-B29A08F0E306}"/>
    <hyperlink ref="B1766" r:id="rId1523" xr:uid="{7D9F470A-E31E-4E3C-8742-1AC98033BBAF}"/>
    <hyperlink ref="B1768" r:id="rId1524" xr:uid="{8E1AFDA9-552B-484C-983A-34598B89F91A}"/>
    <hyperlink ref="B1769" r:id="rId1525" xr:uid="{A381979B-84ED-458E-9B31-D946D1D1303C}"/>
    <hyperlink ref="B1770" r:id="rId1526" xr:uid="{5A6DA88E-2FC6-49B6-A707-2EDF1C9B834A}"/>
    <hyperlink ref="B1771" r:id="rId1527" xr:uid="{E6EFD15C-AD2E-47EA-AF85-BD0C2303F48B}"/>
    <hyperlink ref="B1773" r:id="rId1528" xr:uid="{A33486A2-C967-4FB2-A013-AED177748E45}"/>
    <hyperlink ref="B1774" r:id="rId1529" xr:uid="{DA44DC48-DA33-4573-A47C-AAAFAE9FF42B}"/>
    <hyperlink ref="B1775" r:id="rId1530" xr:uid="{304A3065-92B2-482E-9B2D-9998CC80FF98}"/>
    <hyperlink ref="B1776" r:id="rId1531" xr:uid="{DAE85E06-135A-4523-B961-AAC9EE34D217}"/>
    <hyperlink ref="B1778" r:id="rId1532" xr:uid="{2B333FE9-F05D-4FBE-A563-AAC430DC766E}"/>
    <hyperlink ref="B1779" r:id="rId1533" xr:uid="{36A1DB18-96A4-4660-A152-8097C59AD7DA}"/>
    <hyperlink ref="B1780" r:id="rId1534" xr:uid="{D9282A66-ABBC-4A82-AB6D-EE8CF2AEB2B7}"/>
    <hyperlink ref="B1781" r:id="rId1535" xr:uid="{23DC5FEF-7141-417D-85F9-875926E98299}"/>
    <hyperlink ref="B1783" r:id="rId1536" xr:uid="{CF9AA857-1CE8-44FC-A1DF-3427801018AB}"/>
    <hyperlink ref="B1784" r:id="rId1537" xr:uid="{7C8FE4E1-DA62-4440-920A-1ED1786B3EB1}"/>
    <hyperlink ref="B1785" r:id="rId1538" xr:uid="{363BB3EA-29B6-4623-87C3-CFBA920BFE49}"/>
    <hyperlink ref="B1786" r:id="rId1539" xr:uid="{AD6E94E5-1519-4968-9E2B-DE8FEA5E9B0F}"/>
    <hyperlink ref="B1788" r:id="rId1540" xr:uid="{A3D9D6A3-A8CD-4B3D-B388-590B1C06013B}"/>
    <hyperlink ref="B1789" r:id="rId1541" xr:uid="{4E89103D-2DAD-4507-965C-C3D7ACF6AAA2}"/>
    <hyperlink ref="B1790" r:id="rId1542" xr:uid="{BFE65FDF-083D-4205-989F-91841A261425}"/>
    <hyperlink ref="B1791" r:id="rId1543" xr:uid="{36E89117-41F2-4B60-834D-55F5BA143B2F}"/>
    <hyperlink ref="B1793" r:id="rId1544" xr:uid="{AAC9DBAC-4F98-467B-B04B-C5A418B64729}"/>
    <hyperlink ref="B1794" r:id="rId1545" xr:uid="{FE2EAD09-9312-4960-970A-9E23023E6D45}"/>
    <hyperlink ref="B1795" r:id="rId1546" xr:uid="{76D6D7B6-3E80-4640-B7EF-0D28C99BC373}"/>
    <hyperlink ref="B1796" r:id="rId1547" xr:uid="{10117B5F-36F9-42E9-A736-2180CE90DF0B}"/>
    <hyperlink ref="B1798" r:id="rId1548" xr:uid="{AD154AB1-751A-4457-93E1-91BB8337C96B}"/>
    <hyperlink ref="B1799" r:id="rId1549" xr:uid="{956C3B7E-D324-43EC-A65A-77057DB67809}"/>
    <hyperlink ref="B1800" r:id="rId1550" xr:uid="{3169D8F1-6388-4CB8-A4DD-C698CB9AA76F}"/>
    <hyperlink ref="B1801" r:id="rId1551" xr:uid="{145E1449-505A-4EC1-B4D5-0CB055259A99}"/>
    <hyperlink ref="B1803" r:id="rId1552" xr:uid="{5073D8C4-FF84-404B-B871-C25A177AEBE9}"/>
    <hyperlink ref="B1804" r:id="rId1553" xr:uid="{576F9335-4086-4379-953B-48A6BC26D01A}"/>
    <hyperlink ref="B1805" r:id="rId1554" xr:uid="{4341F960-D563-4EF7-A0E8-64FD4F5C855D}"/>
    <hyperlink ref="B1806" r:id="rId1555" xr:uid="{63C40D8B-9FDC-4F32-A3D9-508FCC2BFC38}"/>
    <hyperlink ref="B1808" r:id="rId1556" xr:uid="{E1E18551-3959-4A89-83BC-A408391845B7}"/>
    <hyperlink ref="B1809" r:id="rId1557" xr:uid="{6DECFF34-11F1-48BB-8991-B5AC5F5A702C}"/>
    <hyperlink ref="B1810" r:id="rId1558" xr:uid="{240EE538-A319-4EF0-8DB6-262313E71154}"/>
    <hyperlink ref="B1811" r:id="rId1559" xr:uid="{571D721D-D511-436D-B3D4-C8CDE284CCAD}"/>
    <hyperlink ref="B1813" r:id="rId1560" xr:uid="{8F0C84A6-9C99-41E3-80CD-B2C0B283B629}"/>
    <hyperlink ref="B1814" r:id="rId1561" xr:uid="{50708C5D-CF19-4EF8-8713-1EC2D2D425A6}"/>
    <hyperlink ref="B1815" r:id="rId1562" xr:uid="{3662B46A-8C98-4F75-AAC6-51BFB2043131}"/>
    <hyperlink ref="B1816" r:id="rId1563" xr:uid="{DFD4B0A6-9070-4836-BBF2-E323C18DFA50}"/>
    <hyperlink ref="B1818" r:id="rId1564" xr:uid="{21A49FEE-DD41-41C3-BDF8-C2166AA0511B}"/>
    <hyperlink ref="B1819" r:id="rId1565" xr:uid="{41C16FB9-2A0C-436A-83A4-2643F2F7AF6C}"/>
    <hyperlink ref="B1820" r:id="rId1566" xr:uid="{9E41EC9E-1333-4150-ACCB-1AD7D6B99D44}"/>
    <hyperlink ref="B1821" r:id="rId1567" xr:uid="{BB63E26D-6B44-4E9F-9BBC-4146BEEF9D71}"/>
    <hyperlink ref="B1823" r:id="rId1568" xr:uid="{679A9C4D-DDF4-4563-BCBD-3D827F7125C2}"/>
    <hyperlink ref="B1824" r:id="rId1569" xr:uid="{7EF24E03-AE4C-4528-B81D-5212229688B2}"/>
    <hyperlink ref="B1825" r:id="rId1570" xr:uid="{B99D39FC-8FDC-42F7-9034-CF9EAA3B64A8}"/>
    <hyperlink ref="B1826" r:id="rId1571" xr:uid="{D251751D-8F0D-48C8-972A-75B24C2B8189}"/>
    <hyperlink ref="B1828" r:id="rId1572" xr:uid="{A51CA193-7DC4-4A97-9E77-75E3ADE7F7F6}"/>
    <hyperlink ref="B1829" r:id="rId1573" xr:uid="{C126C0E8-E9DE-431A-A789-3CD498834C07}"/>
    <hyperlink ref="B1830" r:id="rId1574" xr:uid="{454CF264-B2AD-4B17-9BF6-365B10F306A0}"/>
    <hyperlink ref="B1831" r:id="rId1575" xr:uid="{143B54D6-A143-43F1-97CE-0BB56F1CB072}"/>
    <hyperlink ref="B1833" r:id="rId1576" xr:uid="{1D250B67-3469-4921-93CF-EA9D0137B55D}"/>
    <hyperlink ref="B1834" r:id="rId1577" xr:uid="{9A084028-4273-482D-9D94-17695E6FA272}"/>
    <hyperlink ref="B1835" r:id="rId1578" xr:uid="{5D0EA475-6EFC-45C4-9F5D-F99E2FB0606C}"/>
    <hyperlink ref="B1836" r:id="rId1579" xr:uid="{E9C61CF5-0538-497B-9A58-60232D0C88AB}"/>
    <hyperlink ref="B1838" r:id="rId1580" xr:uid="{C77F41DA-6D79-4EB2-A11C-CC257803F255}"/>
    <hyperlink ref="B1839" r:id="rId1581" xr:uid="{FD3302BD-0957-4196-BF12-4A60B31075F3}"/>
    <hyperlink ref="B1840" r:id="rId1582" xr:uid="{C67B9C9A-EB47-4456-A678-F45470A39A04}"/>
    <hyperlink ref="B1841" r:id="rId1583" xr:uid="{1E44C738-E8C3-4232-B816-1634E8C08E41}"/>
    <hyperlink ref="B1843" r:id="rId1584" xr:uid="{76F1630A-9933-4D5A-9E31-1E2BA133822F}"/>
    <hyperlink ref="B1844" r:id="rId1585" xr:uid="{CEB71E5F-54EB-4C4D-9104-D90349254A40}"/>
    <hyperlink ref="B1845" r:id="rId1586" xr:uid="{578CEC02-7173-4CBE-81AB-38A8345D4D87}"/>
    <hyperlink ref="B1846" r:id="rId1587" xr:uid="{775F8067-104E-487A-AD02-306B3154EB7D}"/>
    <hyperlink ref="B1848" r:id="rId1588" xr:uid="{AC6116E0-09F4-4828-987D-19586CF71472}"/>
    <hyperlink ref="B1849" r:id="rId1589" xr:uid="{A4A7D271-5ADC-460C-BF71-6B97865EAE4C}"/>
    <hyperlink ref="B1850" r:id="rId1590" xr:uid="{4F5755EE-FCB1-47F0-8DA4-E2391CF215B6}"/>
    <hyperlink ref="B1851" r:id="rId1591" xr:uid="{F5C1A26B-A253-4723-BC80-7CF868BC353B}"/>
    <hyperlink ref="B1852" r:id="rId1592" xr:uid="{3F8C2631-C97E-4E8D-9905-E9B65D2B9AB0}"/>
    <hyperlink ref="B1857" r:id="rId1593" xr:uid="{68158027-5536-4D62-A5C7-D7BEB5135B59}"/>
    <hyperlink ref="B1862" r:id="rId1594" xr:uid="{4A295746-B3D8-4081-8B42-96EFFFA0CB24}"/>
    <hyperlink ref="B1867" r:id="rId1595" xr:uid="{D6041977-D72B-46B9-B283-98D40E01F545}"/>
    <hyperlink ref="B1872" r:id="rId1596" xr:uid="{2B4B4FD8-58C5-4CB4-A884-57B779CED92C}"/>
    <hyperlink ref="B1877" r:id="rId1597" xr:uid="{2978A71C-DDA2-4B4C-AF65-DD479FC93C3F}"/>
    <hyperlink ref="B1882" r:id="rId1598" xr:uid="{9307631B-8E7A-4E17-97C7-DF6FCA1F28D0}"/>
    <hyperlink ref="B1887" r:id="rId1599" xr:uid="{BD7A95D0-731B-47A2-8B99-34B0E0F05797}"/>
    <hyperlink ref="B1892" r:id="rId1600" xr:uid="{A600D6EF-590B-43A7-8585-C651D71EA6CB}"/>
    <hyperlink ref="B1897" r:id="rId1601" xr:uid="{A459A3BA-4F3C-4C1B-AFB6-324354D059C4}"/>
    <hyperlink ref="B1902" r:id="rId1602" xr:uid="{89A2D98E-F978-4B36-8347-EA03BF609F1A}"/>
    <hyperlink ref="B1907" r:id="rId1603" xr:uid="{37218B6B-356A-4F31-84E9-0D80B9A8CF6B}"/>
    <hyperlink ref="B1912" r:id="rId1604" xr:uid="{9B20C60F-1568-4EBA-BEE3-3C4294C05217}"/>
    <hyperlink ref="B1917" r:id="rId1605" xr:uid="{539C543E-7B85-4620-9251-6C9A06B85528}"/>
    <hyperlink ref="B1922" r:id="rId1606" xr:uid="{75D4B296-F7E5-422F-BBAA-2F7705ECCFBC}"/>
    <hyperlink ref="B1927" r:id="rId1607" xr:uid="{55698759-9D47-47A8-AD81-E2A3EC2FE90B}"/>
    <hyperlink ref="B1932" r:id="rId1608" xr:uid="{885B6728-09FC-4724-8893-56B7E5F7EBDB}"/>
    <hyperlink ref="B1937" r:id="rId1609" xr:uid="{A324C95B-9672-4550-B428-7ACED779BAE7}"/>
    <hyperlink ref="B1942" r:id="rId1610" xr:uid="{411872DA-9B85-4505-B966-E6108E2BF595}"/>
    <hyperlink ref="B1947" r:id="rId1611" xr:uid="{3FE93542-E354-47A2-BC40-36DBEF397FF9}"/>
    <hyperlink ref="B1952" r:id="rId1612" xr:uid="{315D6708-8D94-4AAA-A8C5-12AF6827EB0F}"/>
    <hyperlink ref="B1957" r:id="rId1613" xr:uid="{32B20C72-BE89-404C-A0D6-298C460AF8A3}"/>
    <hyperlink ref="B1962" r:id="rId1614" xr:uid="{4652214E-F9C3-4DAB-A34A-3113BC9DB3DE}"/>
    <hyperlink ref="B1967" r:id="rId1615" xr:uid="{906ECFE1-B30D-449E-977A-0D7DF9D4C907}"/>
    <hyperlink ref="B1972" r:id="rId1616" xr:uid="{DD33E583-E745-4E4C-B1C3-B21653F87CB0}"/>
    <hyperlink ref="B1977" r:id="rId1617" xr:uid="{BF86B98B-9197-4286-83A6-6905308BA873}"/>
    <hyperlink ref="B1982" r:id="rId1618" xr:uid="{54CE6A3F-EE5E-4D7D-BE40-0A3671015E42}"/>
    <hyperlink ref="B1987" r:id="rId1619" xr:uid="{A99E6416-A6F2-4F1C-A7FE-312B21C9C941}"/>
    <hyperlink ref="B1992" r:id="rId1620" xr:uid="{490AABC5-A268-419F-9DF3-E4D7D678878E}"/>
    <hyperlink ref="B1997" r:id="rId1621" xr:uid="{006E6733-AAF3-45BD-8BDA-7C2907DC3D01}"/>
    <hyperlink ref="B2002" r:id="rId1622" xr:uid="{0EA48F9B-5E18-4DBB-B09D-80F6D4D7591A}"/>
    <hyperlink ref="B2007" r:id="rId1623" xr:uid="{859545F7-F7C3-4F5D-88CD-DA71EBF5CFA9}"/>
    <hyperlink ref="B2012" r:id="rId1624" xr:uid="{A24DC300-C295-45C5-9BB0-8F929ED7F7E9}"/>
    <hyperlink ref="B2017" r:id="rId1625" xr:uid="{3A9CA856-9CDD-416E-9524-424117482EF2}"/>
    <hyperlink ref="B2022" r:id="rId1626" xr:uid="{26FC266F-35BC-40E7-A60B-916A3356058D}"/>
    <hyperlink ref="B2027" r:id="rId1627" xr:uid="{C83B89CD-FFA8-4DC1-90E5-0C4D759FDAE2}"/>
    <hyperlink ref="B2032" r:id="rId1628" xr:uid="{9913CD16-2176-4519-BFA6-76163422CA3B}"/>
    <hyperlink ref="B2037" r:id="rId1629" xr:uid="{E36FB1BD-6455-4A39-A085-52764C2BEE1E}"/>
    <hyperlink ref="B2042" r:id="rId1630" xr:uid="{C066D3AD-8F3E-4879-899C-8EBEE8F2115A}"/>
    <hyperlink ref="B2047" r:id="rId1631" xr:uid="{7879E116-7473-4412-8259-A8BA5FA275BD}"/>
    <hyperlink ref="B2052" r:id="rId1632" xr:uid="{303693F1-0962-49A9-AD7B-4671ACD365A6}"/>
    <hyperlink ref="B2057" r:id="rId1633" xr:uid="{664583FF-E319-4EF3-8D8C-01842FC95233}"/>
    <hyperlink ref="B2062" r:id="rId1634" xr:uid="{25E07E1E-7B8D-4824-8893-83393AA85007}"/>
    <hyperlink ref="B2067" r:id="rId1635" xr:uid="{7B2B5BA5-F4FF-4959-87A0-34F3DFE25523}"/>
    <hyperlink ref="B2072" r:id="rId1636" xr:uid="{58079C9B-8900-464B-8647-62271A09A5E9}"/>
    <hyperlink ref="B2077" r:id="rId1637" xr:uid="{62E4185F-C3C1-4343-B1D0-80EE287021D4}"/>
    <hyperlink ref="B2082" r:id="rId1638" xr:uid="{AC15F6A0-0A94-4D48-9A79-C54F42EFA25E}"/>
    <hyperlink ref="B2087" r:id="rId1639" xr:uid="{45B3FB57-2BEC-41BB-B69F-9F9C2BCB35F8}"/>
    <hyperlink ref="B2092" r:id="rId1640" xr:uid="{D5F3DC53-4222-47CC-9107-687132994357}"/>
    <hyperlink ref="B2097" r:id="rId1641" xr:uid="{26ECA248-5E3E-4F04-B534-537527730E81}"/>
    <hyperlink ref="B1853" r:id="rId1642" xr:uid="{1D21605D-B615-4CC5-A6B7-FDF89D910263}"/>
    <hyperlink ref="B1854" r:id="rId1643" xr:uid="{957E4E6F-5B6D-4877-AD63-2EEBA5E839E6}"/>
    <hyperlink ref="B1855" r:id="rId1644" xr:uid="{D0ECA0D5-8625-4700-BA03-891A39AF9200}"/>
    <hyperlink ref="B1856" r:id="rId1645" xr:uid="{AC894CB3-A550-4734-ADF2-4B407ECC16AB}"/>
    <hyperlink ref="B1858" r:id="rId1646" xr:uid="{CC6A6B8A-9CC0-4D4A-BB90-F7D98A1B09AE}"/>
    <hyperlink ref="B1859" r:id="rId1647" xr:uid="{1E0153F3-67AD-417E-BCE2-1FD0CC484269}"/>
    <hyperlink ref="B1860" r:id="rId1648" xr:uid="{24D278CB-ADB4-45B0-A1EF-A173F8602F6A}"/>
    <hyperlink ref="B1861" r:id="rId1649" xr:uid="{25B55B3D-27C8-48A8-8232-09706680CE15}"/>
    <hyperlink ref="B1863" r:id="rId1650" xr:uid="{B5D4FEF6-EB19-4213-9315-9CB38191417B}"/>
    <hyperlink ref="B1864" r:id="rId1651" xr:uid="{7D0D302A-D814-4943-AFDF-25A0BE2F11A2}"/>
    <hyperlink ref="B1865" r:id="rId1652" xr:uid="{87C86A8A-35F4-4ACF-908E-E56FC53E7F4D}"/>
    <hyperlink ref="B1866" r:id="rId1653" xr:uid="{011227CC-9F59-413D-A305-1CDFFE66732C}"/>
    <hyperlink ref="B1868" r:id="rId1654" xr:uid="{B79DC2A9-291D-479F-99C7-27BE22506003}"/>
    <hyperlink ref="B1869" r:id="rId1655" xr:uid="{3080494C-CB3E-46C3-B742-5D2E9D4E6ECB}"/>
    <hyperlink ref="B1870" r:id="rId1656" xr:uid="{8F5F13A0-9753-4481-AC79-00F7B6295AE4}"/>
    <hyperlink ref="B1871" r:id="rId1657" xr:uid="{9FF61431-502D-40C5-B770-58494DAA8E08}"/>
    <hyperlink ref="B1873" r:id="rId1658" xr:uid="{C9C05E0B-9C58-4B5E-B77A-38498B20631D}"/>
    <hyperlink ref="B1874" r:id="rId1659" xr:uid="{657D41D7-7410-41D7-8A38-205F436148D8}"/>
    <hyperlink ref="B1875" r:id="rId1660" xr:uid="{C152D0D4-D303-4790-B14A-6F42AEE4E86F}"/>
    <hyperlink ref="B1876" r:id="rId1661" xr:uid="{843AD01E-5F7D-483B-9431-C2FC2CFF1EEC}"/>
    <hyperlink ref="B1878" r:id="rId1662" xr:uid="{0846D65F-B0B4-4BE1-AF2D-89508832B3F2}"/>
    <hyperlink ref="B1879" r:id="rId1663" xr:uid="{340B93C7-AA53-4271-A5AE-650AA22186DA}"/>
    <hyperlink ref="B1880" r:id="rId1664" xr:uid="{E189B8FC-2F32-4345-9FCB-22CC0B7F42E5}"/>
    <hyperlink ref="B1881" r:id="rId1665" xr:uid="{6DA4ED1E-E10D-418A-90F3-E113FE03954A}"/>
    <hyperlink ref="B1883" r:id="rId1666" xr:uid="{AFBA5D65-1580-4577-961C-EC9B819555CB}"/>
    <hyperlink ref="B1884" r:id="rId1667" xr:uid="{2FFF275E-6604-424D-9E87-6D5B5E682358}"/>
    <hyperlink ref="B1885" r:id="rId1668" xr:uid="{7232D2A4-5739-46A1-B26B-CC93558C8E7D}"/>
    <hyperlink ref="B1886" r:id="rId1669" xr:uid="{561D1398-7B6C-4D91-AC1E-103788B1DA20}"/>
    <hyperlink ref="B1888" r:id="rId1670" xr:uid="{415C9545-1E88-4F65-812E-A0E733FC10E5}"/>
    <hyperlink ref="B1889" r:id="rId1671" xr:uid="{0291DA1E-32E8-4B43-81DB-A22B9D6F1A0D}"/>
    <hyperlink ref="B1890" r:id="rId1672" xr:uid="{FF1CAA4C-B6E4-4AFA-964C-88A35DF7E44F}"/>
    <hyperlink ref="B1891" r:id="rId1673" xr:uid="{79882C5D-BBC2-44F6-BA17-4A0D060DE4D9}"/>
    <hyperlink ref="B1893" r:id="rId1674" xr:uid="{679F3F5F-9607-4D91-A31B-973389A93F3C}"/>
    <hyperlink ref="B1894" r:id="rId1675" xr:uid="{FCD7DB59-9E0C-4D91-9FF7-28DEA2C1AD70}"/>
    <hyperlink ref="B1895" r:id="rId1676" xr:uid="{50C86E61-2CE9-430F-A192-6864679FCC2E}"/>
    <hyperlink ref="B1896" r:id="rId1677" xr:uid="{21776C68-5705-4BD6-871E-8C61C9A85D91}"/>
    <hyperlink ref="B1898" r:id="rId1678" xr:uid="{A91EA4CC-8ED2-4603-A1E7-639C6336E0B2}"/>
    <hyperlink ref="B1899" r:id="rId1679" xr:uid="{31E08FBD-3E37-4480-BFFB-01C9C90C51FB}"/>
    <hyperlink ref="B1900" r:id="rId1680" xr:uid="{82BCB810-871A-4A8B-B85F-8F6506F5DD8B}"/>
    <hyperlink ref="B1901" r:id="rId1681" xr:uid="{F2708114-7B69-4FC7-8AF7-8F8C0AEC79CE}"/>
    <hyperlink ref="B1903" r:id="rId1682" xr:uid="{5AA36F4B-D720-4FE3-AD61-AA4E398391D5}"/>
    <hyperlink ref="B1904" r:id="rId1683" xr:uid="{E90D66FE-9859-4D08-8990-035D2CDBE557}"/>
    <hyperlink ref="B1905" r:id="rId1684" xr:uid="{0480D4D7-F994-422D-83F3-3C920F12B9F3}"/>
    <hyperlink ref="B1906" r:id="rId1685" xr:uid="{0E317177-B6EE-4152-8EC2-591344CA3623}"/>
    <hyperlink ref="B1908" r:id="rId1686" xr:uid="{A9779707-C537-4210-A3A3-968475ADB360}"/>
    <hyperlink ref="B1909" r:id="rId1687" xr:uid="{B62E509A-3065-4B6A-B259-32E4ED658B9A}"/>
    <hyperlink ref="B1910" r:id="rId1688" xr:uid="{33489E16-0953-41A8-877B-BF051C0F3AD4}"/>
    <hyperlink ref="B1911" r:id="rId1689" xr:uid="{4D7E722E-9439-4FC6-B074-DA5626B99EB2}"/>
    <hyperlink ref="B1913" r:id="rId1690" xr:uid="{EB5084D2-4670-4A5A-AC2A-151EF80A5116}"/>
    <hyperlink ref="B1914" r:id="rId1691" xr:uid="{4771E046-283A-4A40-994D-FA9870370ECE}"/>
    <hyperlink ref="B1915" r:id="rId1692" xr:uid="{2559954E-6D70-4283-8449-24CEE0FEC83D}"/>
    <hyperlink ref="B1916" r:id="rId1693" xr:uid="{C00A3D0B-B0B1-467D-9E1A-E62082752330}"/>
    <hyperlink ref="B1918" r:id="rId1694" xr:uid="{9CEAA5E7-B375-4E61-87E2-FDD79838C7F7}"/>
    <hyperlink ref="B1919" r:id="rId1695" xr:uid="{D2A8321B-7889-4E22-BA81-CB532C9314B3}"/>
    <hyperlink ref="B1920" r:id="rId1696" xr:uid="{FA59ED51-41AB-41E8-99C5-A9F32DC92F76}"/>
    <hyperlink ref="B1921" r:id="rId1697" xr:uid="{0F8331E0-95CF-42B9-9217-4066378DE0C5}"/>
    <hyperlink ref="B1923" r:id="rId1698" xr:uid="{435A0256-16D5-46C2-B5E7-EF8C626B6B3B}"/>
    <hyperlink ref="B1924" r:id="rId1699" xr:uid="{CAD7968E-CD51-41F1-87A5-759A68BFBFE8}"/>
    <hyperlink ref="B1925" r:id="rId1700" xr:uid="{3FC2641A-EC16-47A7-924C-9A8CCDF14EFE}"/>
    <hyperlink ref="B1926" r:id="rId1701" xr:uid="{87262B3E-E0D8-4B11-9864-4A2A733CC716}"/>
    <hyperlink ref="B1928" r:id="rId1702" xr:uid="{364B06E1-8231-462C-85D1-B4D1DF6A5E37}"/>
    <hyperlink ref="B1929" r:id="rId1703" xr:uid="{C8037C70-32DF-419D-B130-AB5801C78E78}"/>
    <hyperlink ref="B1930" r:id="rId1704" xr:uid="{9F292736-307F-4D3C-AD86-AB6BFC1722C8}"/>
    <hyperlink ref="B1931" r:id="rId1705" xr:uid="{59519343-E164-4530-8299-864E9E9466FA}"/>
    <hyperlink ref="B1933" r:id="rId1706" xr:uid="{78CE95CE-F24D-4429-9BE5-02AE9B87BE67}"/>
    <hyperlink ref="B1934" r:id="rId1707" xr:uid="{91DE3B10-C36C-4FD2-BB35-7B788A8F81C9}"/>
    <hyperlink ref="B1935" r:id="rId1708" xr:uid="{0EAEFD1B-93DA-47C2-9C59-06AB0F0DBF90}"/>
    <hyperlink ref="B1936" r:id="rId1709" xr:uid="{EC59D873-A7D8-4AD8-BB40-1CA122617C69}"/>
    <hyperlink ref="B1938" r:id="rId1710" xr:uid="{E92FEC8C-0CA0-490F-A170-F3A769A97EC6}"/>
    <hyperlink ref="B1939" r:id="rId1711" xr:uid="{DBDF98F2-66A2-4AE4-854A-09FAF5139695}"/>
    <hyperlink ref="B1940" r:id="rId1712" xr:uid="{967FC21F-DC64-4AA2-8F5A-2ED8D36613D0}"/>
    <hyperlink ref="B1941" r:id="rId1713" xr:uid="{ECC78CD1-E7AE-4479-9149-45EE82A17D7A}"/>
    <hyperlink ref="B1943" r:id="rId1714" xr:uid="{2EA1553F-B971-4393-BA34-2F4A34DE91DC}"/>
    <hyperlink ref="B1944" r:id="rId1715" xr:uid="{BCACFC15-B080-4D90-903E-1EFA47FC35F8}"/>
    <hyperlink ref="B1945" r:id="rId1716" xr:uid="{97DB81B2-616C-4353-BD6B-6353D99A0D56}"/>
    <hyperlink ref="B1946" r:id="rId1717" xr:uid="{BE3D1E6F-ECED-459F-82E0-039846D69D30}"/>
    <hyperlink ref="B1948" r:id="rId1718" xr:uid="{693DCFB6-B647-4253-B86B-6114FD85FA0C}"/>
    <hyperlink ref="B1949" r:id="rId1719" xr:uid="{A76A6FF3-E1D2-45DE-9185-909E61A0DD9B}"/>
    <hyperlink ref="B1950" r:id="rId1720" xr:uid="{A4E02CAE-6781-435C-9578-52EFCF33E17C}"/>
    <hyperlink ref="B1951" r:id="rId1721" xr:uid="{4F3576B0-7D2D-41ED-971F-36F4118F7281}"/>
    <hyperlink ref="B1953" r:id="rId1722" xr:uid="{F40F92E0-B414-4B7D-908B-98627D1BA869}"/>
    <hyperlink ref="B1954" r:id="rId1723" xr:uid="{8BFB72FD-6AF2-4093-B9B1-4C5B6B843ED2}"/>
    <hyperlink ref="B1955" r:id="rId1724" xr:uid="{4A32B786-7CFF-46AE-AAE9-D9D7A96895FF}"/>
    <hyperlink ref="B1956" r:id="rId1725" xr:uid="{A8FFDA44-2535-482C-A9DC-51F1073BCB1B}"/>
    <hyperlink ref="B1958" r:id="rId1726" xr:uid="{F33C76E8-9D8E-4E91-89A0-99A8136F6499}"/>
    <hyperlink ref="B1959" r:id="rId1727" xr:uid="{7A60A272-AA91-4F20-AF10-DAC356D63C04}"/>
    <hyperlink ref="B1960" r:id="rId1728" xr:uid="{19DDD27E-CFC5-4C0A-A49B-10BEB57877CD}"/>
    <hyperlink ref="B1961" r:id="rId1729" xr:uid="{ACB60785-582E-49F5-8FD3-087DA506D3E1}"/>
    <hyperlink ref="B1963" r:id="rId1730" xr:uid="{81EFF320-7773-4580-9CA4-33275DBB5A45}"/>
    <hyperlink ref="B1964" r:id="rId1731" xr:uid="{2D3F5A3A-A432-4D73-8F7F-70B4279C471D}"/>
    <hyperlink ref="B1965" r:id="rId1732" xr:uid="{F1B081AE-7221-40ED-9CEE-06B1B7635ADD}"/>
    <hyperlink ref="B1966" r:id="rId1733" xr:uid="{91C9D692-0A54-4733-8C77-429B94BBA3BF}"/>
    <hyperlink ref="B1968" r:id="rId1734" xr:uid="{FB10D161-6ECE-407A-A499-BA02A1204F33}"/>
    <hyperlink ref="B1969" r:id="rId1735" xr:uid="{B6D82962-FFF0-4907-B0FA-8C9DD0D22A30}"/>
    <hyperlink ref="B1970" r:id="rId1736" xr:uid="{818E7652-A3FC-4AED-A388-3473AF6E31F8}"/>
    <hyperlink ref="B1971" r:id="rId1737" xr:uid="{0213519F-2653-4034-88EF-CE2C2682EBB1}"/>
    <hyperlink ref="B1973" r:id="rId1738" xr:uid="{EFB12547-9724-413D-953D-16563CF0D5F1}"/>
    <hyperlink ref="B1974" r:id="rId1739" xr:uid="{41F4EF04-4870-4B9C-AB62-D2D70BFF74E2}"/>
    <hyperlink ref="B1975" r:id="rId1740" xr:uid="{0FF77CB4-2E30-4233-B846-5981BF8F4645}"/>
    <hyperlink ref="B1976" r:id="rId1741" xr:uid="{15F9D50D-E347-4B8D-8714-DBA8F2E09BE5}"/>
    <hyperlink ref="B1978" r:id="rId1742" xr:uid="{843F946F-8596-4838-B027-EC7CD51A39CB}"/>
    <hyperlink ref="B1979" r:id="rId1743" xr:uid="{524CA2E9-5B48-4DE9-BE9B-A2826DE2DDBC}"/>
    <hyperlink ref="B1980" r:id="rId1744" xr:uid="{2003C630-52D6-4AAC-B420-D9BAADA78F93}"/>
    <hyperlink ref="B1981" r:id="rId1745" xr:uid="{02630795-98E8-4A0D-AE07-1FF41766BFC6}"/>
    <hyperlink ref="B1983" r:id="rId1746" xr:uid="{1057907B-2521-418B-9474-2B6847B3948A}"/>
    <hyperlink ref="B1984" r:id="rId1747" xr:uid="{B7025E56-DF92-41EB-8D28-940F885BC62A}"/>
    <hyperlink ref="B1985" r:id="rId1748" xr:uid="{CF1167EF-BB0E-47F6-A758-589E2CAAAAEC}"/>
    <hyperlink ref="B1986" r:id="rId1749" xr:uid="{502D3A33-761C-43B6-9F07-ACE73B57FE6D}"/>
    <hyperlink ref="B1988" r:id="rId1750" xr:uid="{033400A6-F43A-44DA-B6DD-60EA5124E53C}"/>
    <hyperlink ref="B1989" r:id="rId1751" xr:uid="{13E79E89-E3D2-400A-9D7E-F87215251E94}"/>
    <hyperlink ref="B1990" r:id="rId1752" xr:uid="{AFEB9E02-36E6-4E38-92D2-72EC221D835F}"/>
    <hyperlink ref="B1991" r:id="rId1753" xr:uid="{50D34B27-C75D-4327-A377-DE5F61BD7044}"/>
    <hyperlink ref="B1993" r:id="rId1754" xr:uid="{B26D4688-57D9-469E-AB0C-822209AB9A82}"/>
    <hyperlink ref="B1994" r:id="rId1755" xr:uid="{B9F98BB9-4D5B-4B26-8C40-8DF4D0DD3B13}"/>
    <hyperlink ref="B1995" r:id="rId1756" xr:uid="{20772D7E-7C32-4504-A369-F6944B908C84}"/>
    <hyperlink ref="B1996" r:id="rId1757" xr:uid="{17619608-F3FB-438F-A619-AAD2848F1D0C}"/>
    <hyperlink ref="B1998" r:id="rId1758" xr:uid="{24FA57FF-AC92-417D-A0A3-9844CA2E9BD9}"/>
    <hyperlink ref="B1999" r:id="rId1759" xr:uid="{5F3C8C4D-9118-4229-AEB9-761160EF91DC}"/>
    <hyperlink ref="B2000" r:id="rId1760" xr:uid="{7C854C7C-C20F-4DEE-BF71-F3C1B8AF9A61}"/>
    <hyperlink ref="B2001" r:id="rId1761" xr:uid="{2B334FEF-DF45-4D8A-B244-BA26D5381AE8}"/>
    <hyperlink ref="B2003" r:id="rId1762" xr:uid="{1EBC49FB-D05E-4120-A600-9A387B3E80CD}"/>
    <hyperlink ref="B2004" r:id="rId1763" xr:uid="{D68C8804-05A5-48A7-85D2-63A33EBDCEC1}"/>
    <hyperlink ref="B2005" r:id="rId1764" xr:uid="{D0ACEEBC-4488-44CF-A218-8ED547145338}"/>
    <hyperlink ref="B2006" r:id="rId1765" xr:uid="{6D25323B-5825-450E-8BA0-BCD584546CDC}"/>
    <hyperlink ref="B2008" r:id="rId1766" xr:uid="{E8B5A589-1B00-4991-AF00-0BCA1BB07E91}"/>
    <hyperlink ref="B2009" r:id="rId1767" xr:uid="{58BAEF0A-1303-474F-922A-4897F207CFB4}"/>
    <hyperlink ref="B2010" r:id="rId1768" xr:uid="{1CE27247-0986-40D0-AA2C-847D05AB368E}"/>
    <hyperlink ref="B2011" r:id="rId1769" xr:uid="{4B0759FB-0BAC-46B5-8BE6-FAB526133965}"/>
    <hyperlink ref="B2013" r:id="rId1770" xr:uid="{61DC86C2-E4C6-48D0-A560-510409E06F23}"/>
    <hyperlink ref="B2014" r:id="rId1771" xr:uid="{D75E8F93-6820-4BFA-AE9B-60F5ADCFB01C}"/>
    <hyperlink ref="B2015" r:id="rId1772" xr:uid="{85B84DBF-A3AA-4F2F-9DE8-12D5901F9BE4}"/>
    <hyperlink ref="B2016" r:id="rId1773" xr:uid="{B4709CB3-8BA5-48F7-95C8-CB4A70B02AC9}"/>
    <hyperlink ref="B2018" r:id="rId1774" xr:uid="{3E0B6AEC-A2CB-4D63-8AB1-E2A2B7833488}"/>
    <hyperlink ref="B2019" r:id="rId1775" xr:uid="{07823100-B5F8-4A14-A30D-C46B80C5FA52}"/>
    <hyperlink ref="B2020" r:id="rId1776" xr:uid="{8BF5FD37-AEF5-4301-8F40-0AFE19DB95CB}"/>
    <hyperlink ref="B2021" r:id="rId1777" xr:uid="{D277D10A-D749-4E18-973E-3F240EDDABCD}"/>
    <hyperlink ref="B2023" r:id="rId1778" xr:uid="{0E991CE9-2957-4114-856B-1F81129C00FC}"/>
    <hyperlink ref="B2024" r:id="rId1779" xr:uid="{3AC90E03-CBE0-456C-84AE-A29C643EFE3B}"/>
    <hyperlink ref="B2025" r:id="rId1780" xr:uid="{6044F0A0-DA93-4BEC-944F-891CF215D857}"/>
    <hyperlink ref="B2026" r:id="rId1781" xr:uid="{E2CDF7E5-B5EF-4253-B493-0BB28C9C59CD}"/>
    <hyperlink ref="B2028" r:id="rId1782" xr:uid="{D1F0D4DC-8011-44B9-91EB-F533B047DF57}"/>
    <hyperlink ref="B2029" r:id="rId1783" xr:uid="{155D6BEE-AA2D-4CFB-AEDA-BDE11F594D4D}"/>
    <hyperlink ref="B2030" r:id="rId1784" xr:uid="{C83734E2-25B5-4A5D-88AE-D95F9ACF8D77}"/>
    <hyperlink ref="B2031" r:id="rId1785" xr:uid="{95F04B50-7F7E-44A2-960C-C4AFA075D3C3}"/>
    <hyperlink ref="B2033" r:id="rId1786" xr:uid="{809892AF-54D5-4CEF-BFF4-92BEB5C7B8AF}"/>
    <hyperlink ref="B2034" r:id="rId1787" xr:uid="{34B9AE35-DE71-4206-B517-7A28FE1E32AB}"/>
    <hyperlink ref="B2035" r:id="rId1788" xr:uid="{4A8EBE03-8947-4217-92EB-37EAB9F1E585}"/>
    <hyperlink ref="B2036" r:id="rId1789" xr:uid="{1BAF45D4-A140-4E0F-AE14-030E2648BF3C}"/>
    <hyperlink ref="B2038" r:id="rId1790" xr:uid="{C8C39DCA-D1AA-4B70-9F22-CB83F923A6AB}"/>
    <hyperlink ref="B2039" r:id="rId1791" xr:uid="{4C906FF3-E170-41B8-9854-341D60D50F78}"/>
    <hyperlink ref="B2040" r:id="rId1792" xr:uid="{8C6F1CF0-BD53-43C1-A5AD-8682E7C4432F}"/>
    <hyperlink ref="B2041" r:id="rId1793" xr:uid="{8E63B9A8-BEBF-4B6F-B289-D3B5079E4D4D}"/>
    <hyperlink ref="B2043" r:id="rId1794" xr:uid="{DA74125E-2092-45D9-9361-E0232998B43D}"/>
    <hyperlink ref="B2044" r:id="rId1795" xr:uid="{9E6898BE-5EE7-4391-8C32-BC0606D7FBA6}"/>
    <hyperlink ref="B2045" r:id="rId1796" xr:uid="{BFEA9EE1-7350-4D7D-ADD4-7936D795DE30}"/>
    <hyperlink ref="B2046" r:id="rId1797" xr:uid="{EF4E1BD2-AD53-4C2A-AEA9-1B4445DCA42C}"/>
    <hyperlink ref="B2048" r:id="rId1798" xr:uid="{DACB2DEA-56B4-4FA0-B0C4-96779B618A35}"/>
    <hyperlink ref="B2049" r:id="rId1799" xr:uid="{F852B71D-89C0-4DE2-8209-7D96DE73484D}"/>
    <hyperlink ref="B2050" r:id="rId1800" xr:uid="{3D49CD0A-5106-4A76-B7DD-D111BB81C150}"/>
    <hyperlink ref="B2051" r:id="rId1801" xr:uid="{6E3F38EC-F89E-4D3E-B2A9-A75F0A5E0744}"/>
    <hyperlink ref="B2053" r:id="rId1802" xr:uid="{D1C0440C-7EC7-4EF0-9BB4-E073990A9828}"/>
    <hyperlink ref="B2054" r:id="rId1803" xr:uid="{192A36AB-BF7E-46B4-83D1-545759B96596}"/>
    <hyperlink ref="B2055" r:id="rId1804" xr:uid="{969ACAB1-807D-482A-A69E-A3542242E381}"/>
    <hyperlink ref="B2056" r:id="rId1805" xr:uid="{8AD3C337-7AF9-4AC2-95AF-317BE650F01E}"/>
    <hyperlink ref="B2058" r:id="rId1806" xr:uid="{D6D9917B-2F7B-4FDD-9EA0-4D15F5D2FC9C}"/>
    <hyperlink ref="B2059" r:id="rId1807" xr:uid="{4AB0F325-0B58-497C-8CEA-8E66DF7E1560}"/>
    <hyperlink ref="B2060" r:id="rId1808" xr:uid="{E57D3846-5E9E-4DC6-9942-C6D30F092BF1}"/>
    <hyperlink ref="B2061" r:id="rId1809" xr:uid="{81B93358-24CD-4E7F-BA84-E6ECBF992030}"/>
    <hyperlink ref="B2063" r:id="rId1810" xr:uid="{62A2EDD6-9266-4D53-A119-1342A12A5CCD}"/>
    <hyperlink ref="B2064" r:id="rId1811" xr:uid="{82BCA1C3-9983-4943-9213-478661AD373C}"/>
    <hyperlink ref="B2065" r:id="rId1812" xr:uid="{8C3374BD-C47A-4161-82FF-EE63FDD8ABF7}"/>
    <hyperlink ref="B2066" r:id="rId1813" xr:uid="{2DE4ACE5-64A5-4C53-ABC5-C2CCDBA87150}"/>
    <hyperlink ref="B2068" r:id="rId1814" xr:uid="{D8C17EA5-1828-4BA9-BC70-4B4DCB17A50A}"/>
    <hyperlink ref="B2069" r:id="rId1815" xr:uid="{D2696D2C-4425-457F-BC9D-5910B159DF0B}"/>
    <hyperlink ref="B2070" r:id="rId1816" xr:uid="{56D0918E-3C15-41A0-9363-3FEC570989C7}"/>
    <hyperlink ref="B2071" r:id="rId1817" xr:uid="{0C4B87BA-11B6-4C25-918C-B55554FA46CC}"/>
    <hyperlink ref="B2073" r:id="rId1818" xr:uid="{665227E7-97E5-4232-9104-5F1C857E9283}"/>
    <hyperlink ref="B2074" r:id="rId1819" xr:uid="{2CC85172-065B-4F15-B651-249D064E951F}"/>
    <hyperlink ref="B2075" r:id="rId1820" xr:uid="{7E727D71-2EF1-4731-B7DB-38F28A78C4FD}"/>
    <hyperlink ref="B2076" r:id="rId1821" xr:uid="{8AC0F238-D92B-4F0A-B32A-1705EA7ADEC7}"/>
    <hyperlink ref="B2078" r:id="rId1822" xr:uid="{4D84A851-3D50-44B9-8562-B3E64B24C6D5}"/>
    <hyperlink ref="B2079" r:id="rId1823" xr:uid="{7A2CAD0E-F28F-4251-BA50-E74615F49E2D}"/>
    <hyperlink ref="B2080" r:id="rId1824" xr:uid="{7789BBEE-6760-43AE-8551-77F9012FC159}"/>
    <hyperlink ref="B2081" r:id="rId1825" xr:uid="{423759FF-7A1C-4E5B-AA40-959DE5A23A6D}"/>
    <hyperlink ref="B2083" r:id="rId1826" xr:uid="{FF8FF2B2-F1FA-4EB4-A97C-4A3A3F874248}"/>
    <hyperlink ref="B2084" r:id="rId1827" xr:uid="{9667160B-5A5D-45EE-8E30-27522313BD27}"/>
    <hyperlink ref="B2085" r:id="rId1828" xr:uid="{D5062759-52AC-41F4-9CCF-B026831AD6CC}"/>
    <hyperlink ref="B2086" r:id="rId1829" xr:uid="{A54F941D-3161-446C-9343-BE1964E77E6B}"/>
    <hyperlink ref="B2088" r:id="rId1830" xr:uid="{25AE7E3D-2E9B-4F3B-9028-5E9245E955A0}"/>
    <hyperlink ref="B2089" r:id="rId1831" xr:uid="{EAB15B65-F45F-41EE-884E-AF655BB89162}"/>
    <hyperlink ref="B2090" r:id="rId1832" xr:uid="{88D74901-8384-40BA-A1F7-14B9A9B06E0E}"/>
    <hyperlink ref="B2091" r:id="rId1833" xr:uid="{8BC8C2C6-513D-4AE3-A02B-42AFD363FB46}"/>
    <hyperlink ref="B2093" r:id="rId1834" xr:uid="{A0545141-172B-4197-B9E3-74262E23AF67}"/>
    <hyperlink ref="B2094" r:id="rId1835" xr:uid="{4C3DB011-AD7A-4A79-A9E8-C7A50A7ACFEC}"/>
    <hyperlink ref="B2095" r:id="rId1836" xr:uid="{5F452F73-841B-4A82-94AC-99B4C873C76D}"/>
    <hyperlink ref="B2096" r:id="rId1837" xr:uid="{7413B551-67EB-4837-A12A-DE8B6CEC587F}"/>
    <hyperlink ref="B2098" r:id="rId1838" xr:uid="{4859E48E-C3F0-4A10-ABA6-247D1C611607}"/>
    <hyperlink ref="B2099" r:id="rId1839" xr:uid="{007497FA-A8B8-4346-9C5E-93FEC6367F54}"/>
    <hyperlink ref="B2100" r:id="rId1840" xr:uid="{142142EF-EAAC-4DF6-B73F-F1ACC8F584BB}"/>
    <hyperlink ref="B2101" r:id="rId1841" xr:uid="{7649648F-1EC2-485B-9BF2-6B566F68A7B1}"/>
    <hyperlink ref="B2117" r:id="rId1842" xr:uid="{F49E040E-5BBC-4F6F-9C0F-1CF377797241}"/>
    <hyperlink ref="B2122" r:id="rId1843" xr:uid="{4F727EB7-8352-47E6-BE22-74520315BB82}"/>
    <hyperlink ref="B2127" r:id="rId1844" xr:uid="{579B9F1B-92A8-4DBA-BD0D-5C4765803D4C}"/>
    <hyperlink ref="B2132" r:id="rId1845" xr:uid="{512753D1-06CB-4A48-9DEB-C1A2E01396A5}"/>
    <hyperlink ref="B2137" r:id="rId1846" xr:uid="{1AD37799-3E50-49D9-AD4A-6E7463B529FD}"/>
    <hyperlink ref="B2142" r:id="rId1847" xr:uid="{FE39066F-DD8D-4006-9CD3-30EC29F04721}"/>
    <hyperlink ref="B2147" r:id="rId1848" xr:uid="{97ED2A36-E560-4146-8B8F-7B6F6EDBD4D2}"/>
    <hyperlink ref="B2152" r:id="rId1849" xr:uid="{7579F3B4-9649-4AE1-AF9F-948AF07F9F92}"/>
    <hyperlink ref="B2157" r:id="rId1850" xr:uid="{AA91CDFB-0ADF-4E3A-BDAD-8AF58FD35308}"/>
    <hyperlink ref="B2162" r:id="rId1851" xr:uid="{8D77C508-0ADE-4D96-A7E3-1221F6ADED3C}"/>
    <hyperlink ref="B2167" r:id="rId1852" xr:uid="{2EC8982A-0979-4293-8230-5BDA74A8B87A}"/>
    <hyperlink ref="B2172" r:id="rId1853" xr:uid="{159A2160-AC46-44A5-BDB5-4D1B7825E661}"/>
    <hyperlink ref="B2177" r:id="rId1854" xr:uid="{32B5364F-6D40-4159-B6C0-D49E1F7DD4BA}"/>
    <hyperlink ref="B2182" r:id="rId1855" xr:uid="{54632907-63C1-481A-A023-691B4C5E3919}"/>
    <hyperlink ref="B2187" r:id="rId1856" xr:uid="{161F60FC-4DCB-40D3-B6E5-42912E6B812F}"/>
    <hyperlink ref="B2192" r:id="rId1857" xr:uid="{ABAF1D98-0C96-42F9-A66D-7C9573729CFA}"/>
    <hyperlink ref="B2197" r:id="rId1858" xr:uid="{DEF45ED6-0D44-456B-A089-861E0F19C790}"/>
    <hyperlink ref="B2202" r:id="rId1859" xr:uid="{DB0BD7DE-DEFF-4C4E-9D27-E30A2BC13237}"/>
    <hyperlink ref="B2207" r:id="rId1860" xr:uid="{0520C5A1-5F69-4B8A-BC34-9C9790F2EB85}"/>
    <hyperlink ref="B2212" r:id="rId1861" xr:uid="{AAC06EB3-C371-4B8E-B605-DCCDF65A3AF9}"/>
    <hyperlink ref="B2217" r:id="rId1862" xr:uid="{BC1570E5-A4E5-4F31-B255-DAE899AA8240}"/>
    <hyperlink ref="B2222" r:id="rId1863" xr:uid="{8E4AA49E-27BB-4827-B9E6-3A50D1D2B6A8}"/>
    <hyperlink ref="B2227" r:id="rId1864" xr:uid="{BE534BFB-A93E-452A-8F5B-ACC62B2A1ECE}"/>
    <hyperlink ref="B2232" r:id="rId1865" xr:uid="{695E56DD-9000-41B8-9AAA-1015BB390972}"/>
    <hyperlink ref="B2237" r:id="rId1866" xr:uid="{133EF5B9-3063-4850-942E-8996F8F14413}"/>
    <hyperlink ref="B2242" r:id="rId1867" xr:uid="{A513BCB5-FB31-43DE-B104-23C171C876D4}"/>
    <hyperlink ref="B2247" r:id="rId1868" xr:uid="{4EBA3DA2-7FF3-4D4D-A4E6-A3EF3FC05711}"/>
    <hyperlink ref="B2252" r:id="rId1869" xr:uid="{FC01973E-5234-48BC-BA30-FC60AADCDA98}"/>
    <hyperlink ref="B2257" r:id="rId1870" xr:uid="{B55659FC-D17E-4C78-93CB-4025DA88858A}"/>
    <hyperlink ref="B2262" r:id="rId1871" xr:uid="{02CCD926-957D-4833-BEB8-27DD2F21BBDE}"/>
    <hyperlink ref="B2267" r:id="rId1872" xr:uid="{93DBD480-35E0-418C-AFFC-3E5E10714F3D}"/>
    <hyperlink ref="B2272" r:id="rId1873" xr:uid="{D72F33F3-B60E-447D-836E-8B9BD39C80C8}"/>
    <hyperlink ref="B2277" r:id="rId1874" xr:uid="{C8B3BF64-458A-4327-B4CC-5621F696657A}"/>
    <hyperlink ref="B2282" r:id="rId1875" xr:uid="{8CDED627-57F7-4FC0-9795-2A79C38844F5}"/>
    <hyperlink ref="B2287" r:id="rId1876" xr:uid="{D815BF80-1E24-40DF-8AFF-28CADF22AC3F}"/>
    <hyperlink ref="B2292" r:id="rId1877" xr:uid="{4E56C285-E27E-4517-A3EC-0B2EAF14F5F3}"/>
    <hyperlink ref="B2297" r:id="rId1878" xr:uid="{589E6A99-2CAB-434B-A9D9-EFD86060632C}"/>
    <hyperlink ref="B2302" r:id="rId1879" xr:uid="{0030A877-877A-47D0-9BCE-997B42A8B32C}"/>
    <hyperlink ref="B2307" r:id="rId1880" xr:uid="{F13BFFF3-5618-4285-9554-4E7E9A0926EF}"/>
    <hyperlink ref="B2312" r:id="rId1881" xr:uid="{33DEC1E9-D142-4FB2-8D32-1498171A0D9F}"/>
    <hyperlink ref="B2317" r:id="rId1882" xr:uid="{8544849A-83FB-4603-ADBB-AFDDF30114F6}"/>
    <hyperlink ref="B2322" r:id="rId1883" xr:uid="{01F4B838-88E7-45CB-93C7-06F0E42C5B6D}"/>
    <hyperlink ref="B2327" r:id="rId1884" xr:uid="{9A773C05-63C7-4C83-B260-32A07A701573}"/>
    <hyperlink ref="B2332" r:id="rId1885" xr:uid="{88DEE214-9E62-4734-B37F-55142018DF79}"/>
    <hyperlink ref="B2337" r:id="rId1886" xr:uid="{70F66DD6-59D1-4E77-BEA0-4819FCBC79B5}"/>
    <hyperlink ref="B2342" r:id="rId1887" xr:uid="{327DBCFF-66DF-468A-A6A0-10C44B277696}"/>
    <hyperlink ref="B2347" r:id="rId1888" xr:uid="{CB97E784-0797-421E-A757-8098E0A08820}"/>
    <hyperlink ref="B2352" r:id="rId1889" xr:uid="{DE3EAB77-1CC8-4065-852E-C67343990349}"/>
    <hyperlink ref="B2357" r:id="rId1890" xr:uid="{DE8BCCF0-3DC8-46E1-A55A-06711056637A}"/>
    <hyperlink ref="B2362" r:id="rId1891" xr:uid="{6892AE16-B4D3-4626-9F1D-9F7BB2905C0F}"/>
    <hyperlink ref="B2118" r:id="rId1892" xr:uid="{2EF09E9D-E605-4FD4-9302-E05D877FDEE4}"/>
    <hyperlink ref="B2119" r:id="rId1893" xr:uid="{9A00018B-608A-4C81-8241-22B84C42EC4B}"/>
    <hyperlink ref="B2120" r:id="rId1894" xr:uid="{28D2E36C-0BBE-4284-9AA4-01E69BF3CCFA}"/>
    <hyperlink ref="B2121" r:id="rId1895" xr:uid="{373CB800-B4E7-4E9A-9CBB-EF317C3987E0}"/>
    <hyperlink ref="B2123" r:id="rId1896" xr:uid="{9E7C0066-D3F9-4A2E-909B-259FC48F7301}"/>
    <hyperlink ref="B2124" r:id="rId1897" xr:uid="{2E2DE7BD-5B7C-48B1-A148-119D0890A6F0}"/>
    <hyperlink ref="B2125" r:id="rId1898" xr:uid="{FD425B73-9BD4-492A-9549-EEBA6F721D37}"/>
    <hyperlink ref="B2126" r:id="rId1899" xr:uid="{8BB75737-CA71-4AAA-BDF3-D404950F52D8}"/>
    <hyperlink ref="B2128" r:id="rId1900" xr:uid="{7C5EC7DF-02BC-4BDA-B337-373C1D6C4665}"/>
    <hyperlink ref="B2129" r:id="rId1901" xr:uid="{C66173D1-F763-48F6-821E-3B91DE59D8AA}"/>
    <hyperlink ref="B2130" r:id="rId1902" xr:uid="{52BD4391-D52A-4DB4-AC08-99B5BD813671}"/>
    <hyperlink ref="B2131" r:id="rId1903" xr:uid="{C7F2EAF4-0CF7-499C-81F0-E22F3549110E}"/>
    <hyperlink ref="B2133" r:id="rId1904" xr:uid="{A2ACE99C-3D31-4927-8E33-40CB042B5BEE}"/>
    <hyperlink ref="B2134" r:id="rId1905" xr:uid="{65C957A4-70D5-4804-8961-E3F6DA0B45DB}"/>
    <hyperlink ref="B2135" r:id="rId1906" xr:uid="{010541D9-7698-47DE-A8B7-08DE44DEFE58}"/>
    <hyperlink ref="B2136" r:id="rId1907" xr:uid="{4AF1CF2F-C738-48AB-80D8-4748D52AEB2D}"/>
    <hyperlink ref="B2138" r:id="rId1908" xr:uid="{3052EC25-37BB-4CB3-A9B7-BAE4C14C5CEE}"/>
    <hyperlink ref="B2139" r:id="rId1909" xr:uid="{B09CFADF-9D35-4300-95FF-C4498A000F87}"/>
    <hyperlink ref="B2140" r:id="rId1910" xr:uid="{875EEC32-C460-48F8-8487-FA3319899594}"/>
    <hyperlink ref="B2141" r:id="rId1911" xr:uid="{510885E0-4875-41FA-BE34-9C2EBF6CBFAD}"/>
    <hyperlink ref="B2143" r:id="rId1912" xr:uid="{5EA636BE-54BE-45B9-BF0F-07B191D6DA74}"/>
    <hyperlink ref="B2144" r:id="rId1913" xr:uid="{C12DC278-30D5-499A-9AD2-B73FC8EB48CF}"/>
    <hyperlink ref="B2145" r:id="rId1914" xr:uid="{8FD3D586-2653-4F78-ABF1-0EEF75C8274C}"/>
    <hyperlink ref="B2146" r:id="rId1915" xr:uid="{260E25F7-7F89-4B97-ABF4-FBA66CE99090}"/>
    <hyperlink ref="B2148" r:id="rId1916" xr:uid="{E68C31A8-0722-41E5-8B3D-726A8BF40AA7}"/>
    <hyperlink ref="B2149" r:id="rId1917" xr:uid="{24E1A2E0-9621-4A18-B95D-924C0833FC5B}"/>
    <hyperlink ref="B2150" r:id="rId1918" xr:uid="{FBD871D9-10CB-4E71-85F4-57126CDC0DE9}"/>
    <hyperlink ref="B2151" r:id="rId1919" xr:uid="{96B7B3A9-4C33-4D2C-91D7-62E904633129}"/>
    <hyperlink ref="B2153" r:id="rId1920" xr:uid="{26ED6655-A637-4EFC-9E2F-A3249DB68562}"/>
    <hyperlink ref="B2154" r:id="rId1921" xr:uid="{BC4859D3-4FD7-4542-ACC5-F36D4DD5B66F}"/>
    <hyperlink ref="B2155" r:id="rId1922" xr:uid="{3D2BD399-52F8-402C-A977-5595E787A317}"/>
    <hyperlink ref="B2156" r:id="rId1923" xr:uid="{35E22AC5-1A96-41FA-83ED-7C43F780890E}"/>
    <hyperlink ref="B2158" r:id="rId1924" xr:uid="{E937B3B4-816C-4863-AEF2-1C3F1742B765}"/>
    <hyperlink ref="B2159" r:id="rId1925" xr:uid="{FF2B1D12-C401-46C0-8361-51B1FC2D3D2A}"/>
    <hyperlink ref="B2160" r:id="rId1926" xr:uid="{5B1EDA13-2715-4BF8-BFA5-54E68C274FD6}"/>
    <hyperlink ref="B2161" r:id="rId1927" xr:uid="{CDCCE906-2BC8-4628-9E67-DC80F5CF4DFC}"/>
    <hyperlink ref="B2163" r:id="rId1928" xr:uid="{E1867471-56A4-4BBA-83BF-E54ED58D6F6E}"/>
    <hyperlink ref="B2164" r:id="rId1929" xr:uid="{CF840E63-9F9A-4F46-803B-879718E96B36}"/>
    <hyperlink ref="B2165" r:id="rId1930" xr:uid="{FDB32BAF-9628-4C0C-A2BF-CE340B3D78D8}"/>
    <hyperlink ref="B2166" r:id="rId1931" xr:uid="{048F4565-ACA5-4478-A43E-8FA7FB7ED637}"/>
    <hyperlink ref="B2168" r:id="rId1932" xr:uid="{1B833B27-799C-4431-8B44-79B174270801}"/>
    <hyperlink ref="B2169" r:id="rId1933" xr:uid="{1510B1FE-7C5D-42CE-BED4-71F13B43C546}"/>
    <hyperlink ref="B2170" r:id="rId1934" xr:uid="{80644EBF-8684-437E-AE60-4E1A7A4C97B8}"/>
    <hyperlink ref="B2171" r:id="rId1935" xr:uid="{CF66F4C0-7414-46A3-9451-DF9AE4D1AE9A}"/>
    <hyperlink ref="B2173" r:id="rId1936" xr:uid="{8C7F0C54-E301-4071-8AA3-B79CCBCD665C}"/>
    <hyperlink ref="B2174" r:id="rId1937" xr:uid="{800A06BE-06DA-452B-A753-F5805DACF3E4}"/>
    <hyperlink ref="B2175" r:id="rId1938" xr:uid="{C6F626E0-7721-473E-A2B6-69BDED2CB8DF}"/>
    <hyperlink ref="B2176" r:id="rId1939" xr:uid="{5AEEDEA3-408B-40BC-BB3A-84174EAA78B1}"/>
    <hyperlink ref="B2178" r:id="rId1940" xr:uid="{7A703C81-00D3-4A79-AD8F-7D5F8DA224CE}"/>
    <hyperlink ref="B2179" r:id="rId1941" xr:uid="{06EDAD49-4B4E-4042-8CAA-FEA5076DAA12}"/>
    <hyperlink ref="B2180" r:id="rId1942" xr:uid="{73E70561-E3B2-4E53-9A8F-6F02B6A1A121}"/>
    <hyperlink ref="B2181" r:id="rId1943" xr:uid="{26180D9B-E385-4B54-A1C6-CE3445E3442C}"/>
    <hyperlink ref="B2183" r:id="rId1944" xr:uid="{2F9756BC-176A-4A8F-BBF9-ACCD49BCD226}"/>
    <hyperlink ref="B2184" r:id="rId1945" xr:uid="{6D1DC08D-917A-49AB-9513-895B9D23959E}"/>
    <hyperlink ref="B2185" r:id="rId1946" xr:uid="{8E99653D-1975-4387-9C35-55B7F1818040}"/>
    <hyperlink ref="B2186" r:id="rId1947" xr:uid="{53ACE16F-E7CB-4E3B-A574-A57A7B351661}"/>
    <hyperlink ref="B2188" r:id="rId1948" xr:uid="{40CFBA5D-0C82-4F47-9F2B-45352E8050B1}"/>
    <hyperlink ref="B2189" r:id="rId1949" xr:uid="{E79DAEBC-B115-4EA6-B298-1325CB01F0FF}"/>
    <hyperlink ref="B2190" r:id="rId1950" xr:uid="{DEC33F20-8FEE-4CFA-B2D5-6AFF7E8D2D6C}"/>
    <hyperlink ref="B2191" r:id="rId1951" xr:uid="{CB562B82-C123-4050-99CE-18F02A1ECE27}"/>
    <hyperlink ref="B2193" r:id="rId1952" xr:uid="{A1F61017-639D-4963-ACFF-0662565E2A51}"/>
    <hyperlink ref="B2194" r:id="rId1953" xr:uid="{12AC8975-2E80-4CC7-9149-DD5D51C11883}"/>
    <hyperlink ref="B2195" r:id="rId1954" xr:uid="{2E15E837-3F3E-4348-B2B9-A7A1863F18D3}"/>
    <hyperlink ref="B2196" r:id="rId1955" xr:uid="{61132238-7030-452C-875B-68B5B9FAD4D8}"/>
    <hyperlink ref="B2198" r:id="rId1956" xr:uid="{D4513ED9-C298-4CE2-86FD-5DD38E4B327A}"/>
    <hyperlink ref="B2199" r:id="rId1957" xr:uid="{6A72F9D0-FA25-46F5-8D1C-CF5DF904462B}"/>
    <hyperlink ref="B2200" r:id="rId1958" xr:uid="{10BFFFA1-BE1A-499C-8F46-BCE01BB295CD}"/>
    <hyperlink ref="B2201" r:id="rId1959" xr:uid="{F234B9D6-62C1-4686-A62E-9A71C7F95BE0}"/>
    <hyperlink ref="B2203" r:id="rId1960" xr:uid="{F8ECC4FC-AD83-430F-9DF0-91C4B52C5537}"/>
    <hyperlink ref="B2204" r:id="rId1961" xr:uid="{D566FB70-084C-4BA9-9E5D-4AAEE0837691}"/>
    <hyperlink ref="B2205" r:id="rId1962" xr:uid="{FC2656B1-7997-41A0-9C4F-52EDA35AF467}"/>
    <hyperlink ref="B2206" r:id="rId1963" xr:uid="{A49C7527-2B06-4433-9BAD-30A13470A8AE}"/>
    <hyperlink ref="B2208" r:id="rId1964" xr:uid="{EA870EF4-9711-46D4-BA9D-D61EDB8AA509}"/>
    <hyperlink ref="B2209" r:id="rId1965" xr:uid="{0E444333-8F8B-44CB-92CB-A2B045272F9F}"/>
    <hyperlink ref="B2210" r:id="rId1966" xr:uid="{5130C000-7D3B-4BB4-9D38-613BC5860B61}"/>
    <hyperlink ref="B2211" r:id="rId1967" xr:uid="{A2BB8033-5BD2-4A83-B4A7-4475BF0AB434}"/>
    <hyperlink ref="B2213" r:id="rId1968" xr:uid="{E0CEBA83-938C-47C5-B69C-DF803CDFA504}"/>
    <hyperlink ref="B2214" r:id="rId1969" xr:uid="{8EA98488-FFFE-4225-B44A-61FA9809811D}"/>
    <hyperlink ref="B2215" r:id="rId1970" xr:uid="{EC2B8C92-2FF5-46C1-AB07-C35284AFDEAF}"/>
    <hyperlink ref="B2216" r:id="rId1971" xr:uid="{069C5999-ABEC-47AF-A48E-FFC4FA140C44}"/>
    <hyperlink ref="B2218" r:id="rId1972" xr:uid="{DEC1EB33-A391-4F88-AEF1-589E1D849BB0}"/>
    <hyperlink ref="B2219" r:id="rId1973" xr:uid="{187FB46C-88DC-44EA-B46F-59EFE40E85A3}"/>
    <hyperlink ref="B2220" r:id="rId1974" xr:uid="{93B915B3-F956-49C2-B9AA-CEF0876BF84A}"/>
    <hyperlink ref="B2221" r:id="rId1975" xr:uid="{94CA6843-D020-4CCD-A3B4-A83FB790BBC0}"/>
    <hyperlink ref="B2223" r:id="rId1976" xr:uid="{E88BC25D-7AC6-4378-919F-888837AEBCBA}"/>
    <hyperlink ref="B2224" r:id="rId1977" xr:uid="{67B39B11-664B-48D4-9414-58792DD18A6C}"/>
    <hyperlink ref="B2225" r:id="rId1978" xr:uid="{20ABC1A9-600B-46DF-8E43-A67FA4F33A91}"/>
    <hyperlink ref="B2226" r:id="rId1979" xr:uid="{7B0DCC75-A92A-46B2-8886-F25FEC48E0CD}"/>
    <hyperlink ref="B2228" r:id="rId1980" xr:uid="{D85A295A-718C-4264-B5AD-3233FA7804D5}"/>
    <hyperlink ref="B2229" r:id="rId1981" xr:uid="{CA802C33-7A8C-4816-BD01-5AA32ADE4100}"/>
    <hyperlink ref="B2230" r:id="rId1982" xr:uid="{996D449C-4A19-4027-9366-AB8B3D471A9C}"/>
    <hyperlink ref="B2231" r:id="rId1983" xr:uid="{79BF6E79-E522-4CC3-9CB5-85D497060D10}"/>
    <hyperlink ref="B2233" r:id="rId1984" xr:uid="{9FDAE5C3-51EF-4FBD-8D19-F41A3E605691}"/>
    <hyperlink ref="B2234" r:id="rId1985" xr:uid="{9132EC22-5A21-4F0B-A43F-745E471FC13A}"/>
    <hyperlink ref="B2235" r:id="rId1986" xr:uid="{34285053-161C-407E-9210-9A68AD7945D9}"/>
    <hyperlink ref="B2236" r:id="rId1987" xr:uid="{D36B79E7-5915-41AB-8879-4F4180613ED0}"/>
    <hyperlink ref="B2238" r:id="rId1988" xr:uid="{5EE2D8EF-BA2B-49DB-85C5-E8C58D081F7E}"/>
    <hyperlink ref="B2239" r:id="rId1989" xr:uid="{F0111C21-668D-434E-9274-EA0D65660875}"/>
    <hyperlink ref="B2240" r:id="rId1990" xr:uid="{8B5C3C5F-83E9-4DED-86D3-F2ACBF202951}"/>
    <hyperlink ref="B2241" r:id="rId1991" xr:uid="{7DE320B2-708F-47D0-8828-CD1F110787B9}"/>
    <hyperlink ref="B2243" r:id="rId1992" xr:uid="{BCC5C653-B254-4DAD-9FED-532CBCD327C4}"/>
    <hyperlink ref="B2244" r:id="rId1993" xr:uid="{D18FAB93-7684-4175-BBC6-5319660C009A}"/>
    <hyperlink ref="B2245" r:id="rId1994" xr:uid="{A9954800-844D-4282-A6C2-374171299697}"/>
    <hyperlink ref="B2246" r:id="rId1995" xr:uid="{C68BC39A-9F21-4C42-B343-B54F2D5F6433}"/>
    <hyperlink ref="B2248" r:id="rId1996" xr:uid="{12E2F6A5-58A6-47E7-86D2-355960A0B603}"/>
    <hyperlink ref="B2249" r:id="rId1997" xr:uid="{DB64258E-04E8-40DA-AC96-902BD37F6B7A}"/>
    <hyperlink ref="B2250" r:id="rId1998" xr:uid="{6DBD7309-94C0-4D3F-B2A6-2DDCCDC24179}"/>
    <hyperlink ref="B2251" r:id="rId1999" xr:uid="{D4931E22-3B34-4E02-B7A0-A7A074920D75}"/>
    <hyperlink ref="B2253" r:id="rId2000" xr:uid="{C2B9C11F-3289-4D0F-8676-9679FD03EAB0}"/>
    <hyperlink ref="B2254" r:id="rId2001" xr:uid="{E749B7F9-6333-41F0-B169-1050AC0D3684}"/>
    <hyperlink ref="B2255" r:id="rId2002" xr:uid="{BCA5C874-4081-467D-92EC-EA352A2E0836}"/>
    <hyperlink ref="B2256" r:id="rId2003" xr:uid="{302435E5-F7A0-4E10-80C3-4654579AD637}"/>
    <hyperlink ref="B2258" r:id="rId2004" xr:uid="{9EB89A02-AFC0-400E-9626-1395BB954A03}"/>
    <hyperlink ref="B2259" r:id="rId2005" xr:uid="{1F1F8136-8749-4DA9-A05B-230DB024D97C}"/>
    <hyperlink ref="B2260" r:id="rId2006" xr:uid="{E5890B58-DA26-4B7A-ABB4-9DAAD2E54580}"/>
    <hyperlink ref="B2261" r:id="rId2007" xr:uid="{C3FB24CA-9B34-4706-96C9-B6A7CC4D9F7F}"/>
    <hyperlink ref="B2263" r:id="rId2008" xr:uid="{72940C68-F3A6-40F2-8FE2-8DD01324D9D2}"/>
    <hyperlink ref="B2264" r:id="rId2009" xr:uid="{C015E9AE-21B3-46C2-B25C-28AD78BD43F0}"/>
    <hyperlink ref="B2265" r:id="rId2010" xr:uid="{72034891-6B5F-4450-AC43-163CC5A065B9}"/>
    <hyperlink ref="B2266" r:id="rId2011" xr:uid="{C28501EE-AC51-4BF7-9523-C9AC1B6C63C5}"/>
    <hyperlink ref="B2268" r:id="rId2012" xr:uid="{1CE0E8F5-409C-4B03-82F7-3A7411522A17}"/>
    <hyperlink ref="B2269" r:id="rId2013" xr:uid="{420680BD-024C-40C6-96F1-0AAA9BA75137}"/>
    <hyperlink ref="B2270" r:id="rId2014" xr:uid="{C9E4E72E-71BA-4760-BACE-3923D69FE822}"/>
    <hyperlink ref="B2271" r:id="rId2015" xr:uid="{D3A7FA0F-8629-44C6-8A0A-FAFC5C5F8568}"/>
    <hyperlink ref="B2273" r:id="rId2016" xr:uid="{8B811344-CBBD-486D-9547-A2F53D0FAC69}"/>
    <hyperlink ref="B2274" r:id="rId2017" xr:uid="{5E6478D5-5961-4DB5-8CEE-8F23A5FA2044}"/>
    <hyperlink ref="B2275" r:id="rId2018" xr:uid="{365BFEC5-2D70-48C8-8711-3B7BCF26E9F1}"/>
    <hyperlink ref="B2276" r:id="rId2019" xr:uid="{71CF6F97-6A50-4018-91F4-B153336F01EB}"/>
    <hyperlink ref="B2278" r:id="rId2020" xr:uid="{7EE591EB-FDB8-4608-B4AB-593262168EEA}"/>
    <hyperlink ref="B2279" r:id="rId2021" xr:uid="{44603892-F7C2-42CA-8878-3318C250C4A3}"/>
    <hyperlink ref="B2280" r:id="rId2022" xr:uid="{51800BB1-2B17-47B3-8BD5-1126394412EB}"/>
    <hyperlink ref="B2281" r:id="rId2023" xr:uid="{FF6DFF5E-EAA8-4AC5-B54D-E1DCAF7F68D7}"/>
    <hyperlink ref="B2283" r:id="rId2024" xr:uid="{3954F974-A11C-44FD-B0CD-A5D231159F25}"/>
    <hyperlink ref="B2284" r:id="rId2025" xr:uid="{6CC823E1-6C8E-42AC-9474-0195E64517EF}"/>
    <hyperlink ref="B2285" r:id="rId2026" xr:uid="{39EFC796-0D1F-41D4-BEFD-93EDCF3F7D3A}"/>
    <hyperlink ref="B2286" r:id="rId2027" xr:uid="{AAB4CABA-9C1A-4AC9-95E8-C0CA3F0D89BB}"/>
    <hyperlink ref="B2288" r:id="rId2028" xr:uid="{4BE4EFC5-42E5-481E-91D5-BB7E2DD23559}"/>
    <hyperlink ref="B2289" r:id="rId2029" xr:uid="{AEC11016-705A-477D-AA19-9E76289A6245}"/>
    <hyperlink ref="B2290" r:id="rId2030" xr:uid="{10A7F314-881C-4C75-A5A5-B62AFF1FA5E4}"/>
    <hyperlink ref="B2291" r:id="rId2031" xr:uid="{DD8610EB-124A-41C0-AA18-63DD09BE7739}"/>
    <hyperlink ref="B2293" r:id="rId2032" xr:uid="{F15D9D10-02CF-4E3D-B95E-E2A2C5453B37}"/>
    <hyperlink ref="B2294" r:id="rId2033" xr:uid="{9C215632-EB7E-4ED2-AF01-83C0023CE334}"/>
    <hyperlink ref="B2295" r:id="rId2034" xr:uid="{D22FDD6A-AC69-42CF-B3B9-C0672D217A29}"/>
    <hyperlink ref="B2296" r:id="rId2035" xr:uid="{E055B0C2-50E7-42B6-BFA0-E61A66A0D4E9}"/>
    <hyperlink ref="B2298" r:id="rId2036" xr:uid="{1F422EFA-40FB-4F41-87F5-BD79D5E27377}"/>
    <hyperlink ref="B2299" r:id="rId2037" xr:uid="{82F27B89-8D65-4A62-8DB3-3252EACDCD23}"/>
    <hyperlink ref="B2300" r:id="rId2038" xr:uid="{7C3CF766-B318-48E4-973D-A02A34D84CBE}"/>
    <hyperlink ref="B2301" r:id="rId2039" xr:uid="{E2BF2B0D-31FB-4C2D-8C0D-CB1275595A28}"/>
    <hyperlink ref="B2303" r:id="rId2040" xr:uid="{9008FBB7-4984-469B-BB59-03189FD082A0}"/>
    <hyperlink ref="B2304" r:id="rId2041" xr:uid="{9E4500B3-104C-40D1-B6EC-772217CCDD62}"/>
    <hyperlink ref="B2305" r:id="rId2042" xr:uid="{B2DC24A7-0DAB-4B89-8F05-83AFB7D94F44}"/>
    <hyperlink ref="B2306" r:id="rId2043" xr:uid="{5B82E176-70D0-4E1B-B57A-0EFE4B0D0D57}"/>
    <hyperlink ref="B2308" r:id="rId2044" xr:uid="{2A4A979B-9355-4487-B543-DC1DE186A9F2}"/>
    <hyperlink ref="B2309" r:id="rId2045" xr:uid="{B8726AA2-BB0E-4E00-84B4-F2BADF03383E}"/>
    <hyperlink ref="B2310" r:id="rId2046" xr:uid="{0FADF2EC-9EE0-45C3-BD0E-B1FCDEA03F6A}"/>
    <hyperlink ref="B2311" r:id="rId2047" xr:uid="{218963B1-0A4D-4D54-9265-C5888245E0B8}"/>
    <hyperlink ref="B2313" r:id="rId2048" xr:uid="{D3DFE2B6-C75E-48A9-BCD2-B327F35BC991}"/>
    <hyperlink ref="B2314" r:id="rId2049" xr:uid="{BD467C5D-2F77-4394-952F-3A10480EA4AB}"/>
    <hyperlink ref="B2315" r:id="rId2050" xr:uid="{6AB74EB1-12FB-4754-BC60-CB0CE7A2011A}"/>
    <hyperlink ref="B2316" r:id="rId2051" xr:uid="{B55E331C-AE3E-42E2-B72B-C6AA8D66FCCE}"/>
    <hyperlink ref="B2318" r:id="rId2052" xr:uid="{948B5E4B-85F0-4A93-A470-97CD88DF61BE}"/>
    <hyperlink ref="B2319" r:id="rId2053" xr:uid="{4B37D14B-51BC-4E40-BB6B-D6D4AC6E31F7}"/>
    <hyperlink ref="B2320" r:id="rId2054" xr:uid="{02974066-D984-4C41-8E12-B10B68EC6D93}"/>
    <hyperlink ref="B2321" r:id="rId2055" xr:uid="{2A5DEB08-7FD5-4562-B713-0658996F9FE2}"/>
    <hyperlink ref="B2323" r:id="rId2056" xr:uid="{866C18B3-B164-4096-B6F1-DDC572E77240}"/>
    <hyperlink ref="B2324" r:id="rId2057" xr:uid="{B69B5E2D-BE0A-4EF4-97BD-0D66249262EB}"/>
    <hyperlink ref="B2325" r:id="rId2058" xr:uid="{D162D111-1825-431D-ACDA-D22E334FAD6C}"/>
    <hyperlink ref="B2326" r:id="rId2059" xr:uid="{AB62E23D-043F-4442-984D-C81840FB9296}"/>
    <hyperlink ref="B2328" r:id="rId2060" xr:uid="{26B1350C-4EDD-4227-8064-7E441B8FD252}"/>
    <hyperlink ref="B2329" r:id="rId2061" xr:uid="{2B9F0ECB-5AF5-4396-9FED-690ED850106A}"/>
    <hyperlink ref="B2330" r:id="rId2062" xr:uid="{0144705B-9ACA-40C2-B466-7992E2422CF3}"/>
    <hyperlink ref="B2331" r:id="rId2063" xr:uid="{C2C7B06C-8B46-4D69-8744-0B006CDE028B}"/>
    <hyperlink ref="B2333" r:id="rId2064" xr:uid="{F77ECF0F-5DC4-4818-956A-A3EC0281925D}"/>
    <hyperlink ref="B2334" r:id="rId2065" xr:uid="{0F3A55F1-480B-474B-9140-98EC38AB8FDC}"/>
    <hyperlink ref="B2335" r:id="rId2066" xr:uid="{8F982509-7348-4AD6-8BEC-D9334258FCA8}"/>
    <hyperlink ref="B2336" r:id="rId2067" xr:uid="{4D03F64C-2995-4383-8735-AE5C0ED53772}"/>
    <hyperlink ref="B2338" r:id="rId2068" xr:uid="{4B3EA294-AB23-4252-B10B-B9A9F639DA49}"/>
    <hyperlink ref="B2339" r:id="rId2069" xr:uid="{162E250B-F53E-4031-A344-060523EBB644}"/>
    <hyperlink ref="B2340" r:id="rId2070" xr:uid="{62A982A7-EE69-4834-8DC2-695CED2024FC}"/>
    <hyperlink ref="B2341" r:id="rId2071" xr:uid="{FBB120A5-B407-4CD6-BA64-868555D3FAEE}"/>
    <hyperlink ref="B2343" r:id="rId2072" xr:uid="{05A14455-C32B-4E5B-B4D9-24C3F050CFF3}"/>
    <hyperlink ref="B2344" r:id="rId2073" xr:uid="{AFC4B33C-FF89-4B7F-AE07-DA0304B98136}"/>
    <hyperlink ref="B2345" r:id="rId2074" xr:uid="{FED727D8-95DE-4134-942B-415B009B6DE4}"/>
    <hyperlink ref="B2346" r:id="rId2075" xr:uid="{4061E887-F68A-4451-9582-B9689353A626}"/>
    <hyperlink ref="B2348" r:id="rId2076" xr:uid="{DB0AAB51-1ADF-4EBC-B5CE-FAEB54F7CAA4}"/>
    <hyperlink ref="B2349" r:id="rId2077" xr:uid="{2A6012AC-ED0F-459D-841D-465F59ED5F6A}"/>
    <hyperlink ref="B2350" r:id="rId2078" xr:uid="{E86B780C-C637-4B1D-852B-93466549D6F1}"/>
    <hyperlink ref="B2351" r:id="rId2079" xr:uid="{943FD90C-8B67-458E-836D-1A3A805F7E8E}"/>
    <hyperlink ref="B2353" r:id="rId2080" xr:uid="{DA1413A3-3804-4C7A-B31B-756CB06B5EF0}"/>
    <hyperlink ref="B2354" r:id="rId2081" xr:uid="{591371DE-F274-4113-A770-7F9EA43E0DFC}"/>
    <hyperlink ref="B2355" r:id="rId2082" xr:uid="{25C53844-6122-41AF-A617-A7795F8EDF8F}"/>
    <hyperlink ref="B2356" r:id="rId2083" xr:uid="{8A277969-1891-4D27-A6EF-F6F034C9B771}"/>
    <hyperlink ref="B2358" r:id="rId2084" xr:uid="{3A8C43A3-C10F-4E0F-AD84-F3388AD5A861}"/>
    <hyperlink ref="B2359" r:id="rId2085" xr:uid="{106A028D-72B3-474C-B8EA-0E0C74809121}"/>
    <hyperlink ref="B2360" r:id="rId2086" xr:uid="{A6D9F0A1-BA76-4D72-B0A6-C126F5C68F07}"/>
    <hyperlink ref="B2361" r:id="rId2087" xr:uid="{07509A3D-977F-4E76-9E72-674C0ACB8DDC}"/>
    <hyperlink ref="B2363" r:id="rId2088" xr:uid="{CCDCED98-6B00-4463-95CB-E49DB3CA4D45}"/>
    <hyperlink ref="B2364" r:id="rId2089" xr:uid="{F32C56BE-54AE-46DB-A516-DC734BE54FC7}"/>
    <hyperlink ref="B2365" r:id="rId2090" xr:uid="{D7E8F97B-5733-4B2E-9892-4431AA7D7A6D}"/>
    <hyperlink ref="B2366" r:id="rId2091" xr:uid="{C43FE056-A326-4C86-9FE7-F64079AA47D4}"/>
    <hyperlink ref="B2367" r:id="rId2092" xr:uid="{8CCEFC86-3B84-437D-83DD-E62BAB068D7B}"/>
    <hyperlink ref="B2372" r:id="rId2093" xr:uid="{0BA23A00-6096-4320-B582-FE38FCCDA7AD}"/>
    <hyperlink ref="B2377" r:id="rId2094" xr:uid="{ECCC6F39-7B4B-4862-B30C-EFCB4C200854}"/>
    <hyperlink ref="B2382" r:id="rId2095" xr:uid="{D36DA076-144F-432A-B895-1918E3155061}"/>
    <hyperlink ref="B2387" r:id="rId2096" xr:uid="{DD4695CC-402A-4977-9889-6A9DED7320A4}"/>
    <hyperlink ref="B2392" r:id="rId2097" xr:uid="{2CC3C0BC-29DD-429E-B0C6-547ECB90FCF7}"/>
    <hyperlink ref="B2397" r:id="rId2098" xr:uid="{886FD6E2-92D4-488C-960D-D1C6A4C0FB76}"/>
    <hyperlink ref="B2402" r:id="rId2099" xr:uid="{4E54ED43-528F-4FBF-AAEF-04F0768FDC80}"/>
    <hyperlink ref="B2407" r:id="rId2100" xr:uid="{3867EE4A-0469-42C1-8CF5-8766787A9802}"/>
    <hyperlink ref="B2412" r:id="rId2101" xr:uid="{EE05226A-0AD1-483E-A57D-007A4E9F56CE}"/>
    <hyperlink ref="B2417" r:id="rId2102" xr:uid="{ED966FCF-6927-465C-9285-0ECDAE7E2BE5}"/>
    <hyperlink ref="B2422" r:id="rId2103" xr:uid="{D85C08C4-ACBC-4AEE-8A57-6F17ABF2E184}"/>
    <hyperlink ref="B2427" r:id="rId2104" xr:uid="{4B43ADCB-5AB8-44F0-8128-B77D5D6AAAB7}"/>
    <hyperlink ref="B2432" r:id="rId2105" xr:uid="{558771A3-A312-41CA-BC99-DDEEE8ABFE96}"/>
    <hyperlink ref="B2437" r:id="rId2106" xr:uid="{A541394D-6078-4117-A209-F6E3B50899A2}"/>
    <hyperlink ref="B2442" r:id="rId2107" xr:uid="{EF258D9E-EE19-4F37-8F8F-0B4695A22C5C}"/>
    <hyperlink ref="B2447" r:id="rId2108" xr:uid="{E910749C-49B5-43EB-9EAC-542A5C3918D4}"/>
    <hyperlink ref="B2452" r:id="rId2109" xr:uid="{DFDDE769-FC00-45F1-8570-732E06792360}"/>
    <hyperlink ref="B2457" r:id="rId2110" xr:uid="{160277DE-4A2D-4CF0-AA71-42F061E4CE84}"/>
    <hyperlink ref="B2462" r:id="rId2111" xr:uid="{AD5B4986-FBF1-48C0-93F6-CC5E28785F61}"/>
    <hyperlink ref="B2467" r:id="rId2112" xr:uid="{FB1AE907-9079-4330-96EC-5C0BD346D3FE}"/>
    <hyperlink ref="B2472" r:id="rId2113" xr:uid="{CCE63DFA-43DE-4250-B60A-C7B7187DEAFD}"/>
    <hyperlink ref="B2477" r:id="rId2114" xr:uid="{718743E2-3573-402F-8FD0-884B2CF858AB}"/>
    <hyperlink ref="B2482" r:id="rId2115" xr:uid="{8ABB5578-2CB9-48EB-A581-E4AEC99F41DC}"/>
    <hyperlink ref="B2487" r:id="rId2116" xr:uid="{FADC9368-129B-4D8A-8F66-CD1FA12642D0}"/>
    <hyperlink ref="B2492" r:id="rId2117" xr:uid="{AD99295E-1397-4187-908A-3E4D6068B505}"/>
    <hyperlink ref="B2497" r:id="rId2118" xr:uid="{764FD1EB-F87A-4A99-ABFF-6A91C8A80C23}"/>
    <hyperlink ref="B2502" r:id="rId2119" xr:uid="{F100E3A5-E9F5-4F06-928F-B125B5E85957}"/>
    <hyperlink ref="B2507" r:id="rId2120" xr:uid="{80C98EDA-2AFE-4833-B65A-512677B7CA67}"/>
    <hyperlink ref="B2512" r:id="rId2121" xr:uid="{7C022ABB-035E-4F29-86DB-1CF75E5E5791}"/>
    <hyperlink ref="B2517" r:id="rId2122" xr:uid="{1A23DB68-DE3C-4F65-AAB9-BC2C11BD1976}"/>
    <hyperlink ref="B2522" r:id="rId2123" xr:uid="{DA8E2155-650A-4232-9892-E7510F03E23F}"/>
    <hyperlink ref="B2527" r:id="rId2124" xr:uid="{A4313529-8D99-49B3-8006-6C782EB10163}"/>
    <hyperlink ref="B2532" r:id="rId2125" xr:uid="{C234800E-97B3-4FE0-AA70-D790ACFDC97F}"/>
    <hyperlink ref="B2537" r:id="rId2126" xr:uid="{F0218594-D497-44C0-A32B-27BD696581CF}"/>
    <hyperlink ref="B2542" r:id="rId2127" xr:uid="{257341E9-CFDF-42FB-BB7F-92715C07DFB6}"/>
    <hyperlink ref="B2547" r:id="rId2128" xr:uid="{683CCF5C-E13A-4F2E-A705-51DD43D653C0}"/>
    <hyperlink ref="B2552" r:id="rId2129" xr:uid="{1EA0C31E-A840-478B-BF2A-C0FD205C07F0}"/>
    <hyperlink ref="B2557" r:id="rId2130" xr:uid="{8614FAD7-156D-4594-B357-C42A64C2C3A7}"/>
    <hyperlink ref="B2562" r:id="rId2131" xr:uid="{011F533A-8121-4EA3-9E55-A4E10C0EAB81}"/>
    <hyperlink ref="B2567" r:id="rId2132" xr:uid="{AEF89878-5BF8-48F8-9D8E-B29B5E43B70F}"/>
    <hyperlink ref="B2572" r:id="rId2133" xr:uid="{56673AA6-5712-4E8F-8D9A-BB5E63C59339}"/>
    <hyperlink ref="B2577" r:id="rId2134" xr:uid="{4F619C68-23DD-49E2-BD65-15EA47463DEB}"/>
    <hyperlink ref="B2582" r:id="rId2135" xr:uid="{E85E11D1-56EA-4610-B0B5-79034D1FB314}"/>
    <hyperlink ref="B2587" r:id="rId2136" xr:uid="{1E910A3F-DAB7-4316-8506-EFC0B7D5189B}"/>
    <hyperlink ref="B2592" r:id="rId2137" xr:uid="{EAF3D90C-6E7A-4750-8688-BD1DA1DA1F67}"/>
    <hyperlink ref="B2597" r:id="rId2138" xr:uid="{D44D320B-AE0A-47B4-B2B5-2C1CDADB53AC}"/>
    <hyperlink ref="B2602" r:id="rId2139" xr:uid="{42541627-9FE3-4967-AF8C-C9DAC91325C5}"/>
    <hyperlink ref="B2607" r:id="rId2140" xr:uid="{575E60B0-5BAB-462E-8A4E-797B0D0A9FEA}"/>
    <hyperlink ref="B2612" r:id="rId2141" xr:uid="{203F08E9-071E-4413-A512-C17CD1A8A6EE}"/>
    <hyperlink ref="B2368" r:id="rId2142" xr:uid="{6715FB0D-BB9C-44A0-91FF-DB6EC5ACBDF5}"/>
    <hyperlink ref="B2369" r:id="rId2143" xr:uid="{2250E799-D478-475B-8619-A5267CE73BBE}"/>
    <hyperlink ref="B2370" r:id="rId2144" xr:uid="{E951AAB2-CE45-4F38-A9A7-6DA63698B8E1}"/>
    <hyperlink ref="B2371" r:id="rId2145" xr:uid="{64FE03D9-12CB-44A5-99CC-0350D256C806}"/>
    <hyperlink ref="B2373" r:id="rId2146" xr:uid="{6C84A818-4766-460D-B1BC-850006F916D3}"/>
    <hyperlink ref="B2374" r:id="rId2147" xr:uid="{8A7A80BB-36A4-4C07-A40F-9C7B24600C61}"/>
    <hyperlink ref="B2375" r:id="rId2148" xr:uid="{80DB6EA6-04EC-4946-98F4-3348EF33DA82}"/>
    <hyperlink ref="B2376" r:id="rId2149" xr:uid="{C2D56C7C-9267-43B0-9AAB-CDF6A8F30576}"/>
    <hyperlink ref="B2378" r:id="rId2150" xr:uid="{465BC1CE-F355-4DFC-93F1-7F00EA84F528}"/>
    <hyperlink ref="B2379" r:id="rId2151" xr:uid="{F05CA9E5-1431-4D42-9B23-3CA96C5434C3}"/>
    <hyperlink ref="B2380" r:id="rId2152" xr:uid="{C04C3FFB-6281-4654-B1EA-3E1A002444B9}"/>
    <hyperlink ref="B2381" r:id="rId2153" xr:uid="{3987751D-667B-490C-85E3-6338F85C24FA}"/>
    <hyperlink ref="B2383" r:id="rId2154" xr:uid="{401FBAE3-D981-4C3D-8C72-C5D38A258279}"/>
    <hyperlink ref="B2384" r:id="rId2155" xr:uid="{E67D2FDF-0F55-41A9-867D-066EC6648998}"/>
    <hyperlink ref="B2385" r:id="rId2156" xr:uid="{E573B2C9-B5BA-4181-959E-86DC451B9511}"/>
    <hyperlink ref="B2386" r:id="rId2157" xr:uid="{6E21AFD7-24ED-4FC1-90C5-485DD1911AEF}"/>
    <hyperlink ref="B2388" r:id="rId2158" xr:uid="{ACD52D83-733F-4404-8B10-44F1C09B76DC}"/>
    <hyperlink ref="B2389" r:id="rId2159" xr:uid="{0AA926A9-E122-4BE3-B943-DC2ADFC2B57B}"/>
    <hyperlink ref="B2390" r:id="rId2160" xr:uid="{42B221B8-F197-4CE3-9EF0-10B53CA115C1}"/>
    <hyperlink ref="B2391" r:id="rId2161" xr:uid="{5E43534A-D42B-46F5-B53E-DD0071E4F65F}"/>
    <hyperlink ref="B2393" r:id="rId2162" xr:uid="{4C4EB50F-3A99-4DC8-9E85-BCB509220A1E}"/>
    <hyperlink ref="B2394" r:id="rId2163" xr:uid="{D0F887E4-55CB-4100-B16B-67E78B72FC33}"/>
    <hyperlink ref="B2395" r:id="rId2164" xr:uid="{F6E2D8A2-29FE-4C8D-9418-390075CA29C5}"/>
    <hyperlink ref="B2396" r:id="rId2165" xr:uid="{D08DB781-C936-4F0F-A1F2-33B9C25EFB2E}"/>
    <hyperlink ref="B2398" r:id="rId2166" xr:uid="{4178E06A-5C03-4361-A244-25E29E062B02}"/>
    <hyperlink ref="B2399" r:id="rId2167" xr:uid="{B35AC1C1-4EDE-43CB-9F96-FD20892413C3}"/>
    <hyperlink ref="B2400" r:id="rId2168" xr:uid="{305879DE-E5E1-427E-B00B-A3DB08617572}"/>
    <hyperlink ref="B2401" r:id="rId2169" xr:uid="{66C5575D-005F-4435-B18D-22294BD0A0A9}"/>
    <hyperlink ref="B2403" r:id="rId2170" xr:uid="{71177FC7-2BEB-441D-AA4D-1C53A3A5E2A9}"/>
    <hyperlink ref="B2404" r:id="rId2171" xr:uid="{02A8C0A3-31C8-4954-A0E5-E77D50A8F4DB}"/>
    <hyperlink ref="B2405" r:id="rId2172" xr:uid="{7D843212-D356-4BA7-8888-53C1AD74F0E1}"/>
    <hyperlink ref="B2406" r:id="rId2173" xr:uid="{BFC09709-0F5F-47B1-8BEA-DFFE7C69F115}"/>
    <hyperlink ref="B2408" r:id="rId2174" xr:uid="{C41F8157-B960-46EC-82EE-0FB1749ADA40}"/>
    <hyperlink ref="B2409" r:id="rId2175" xr:uid="{A0A0546D-31FB-499D-9106-F83F1CDBCFCB}"/>
    <hyperlink ref="B2410" r:id="rId2176" xr:uid="{557053FA-F537-4FD4-ACD4-8BA0B584F0AF}"/>
    <hyperlink ref="B2411" r:id="rId2177" xr:uid="{B08462C2-10D8-462A-A05A-297ACE0E8E29}"/>
    <hyperlink ref="B2413" r:id="rId2178" xr:uid="{14D9A64F-4123-43C7-B275-85ED335C2FC0}"/>
    <hyperlink ref="B2414" r:id="rId2179" xr:uid="{3ECCCE8E-249A-4703-B19B-DAE67B3FE17D}"/>
    <hyperlink ref="B2415" r:id="rId2180" xr:uid="{3964113F-4792-4BCB-8020-B9437D2F0183}"/>
    <hyperlink ref="B2416" r:id="rId2181" xr:uid="{2DDC5EDA-8D12-4882-AD0B-95CB9D7C3142}"/>
    <hyperlink ref="B2418" r:id="rId2182" xr:uid="{C4302835-8ACA-4056-9803-DF7CA25BEC8C}"/>
    <hyperlink ref="B2419" r:id="rId2183" xr:uid="{DDB1457B-400B-4118-86C5-ABEB83579379}"/>
    <hyperlink ref="B2420" r:id="rId2184" xr:uid="{906E11BE-DE28-4F61-8BD6-00B675254361}"/>
    <hyperlink ref="B2421" r:id="rId2185" xr:uid="{A330E624-54B8-4991-8077-EC78D6ECF63C}"/>
    <hyperlink ref="B2423" r:id="rId2186" xr:uid="{07D3AF8A-D13D-4484-8CD4-81F60D5B4C0A}"/>
    <hyperlink ref="B2424" r:id="rId2187" xr:uid="{8B6C5A77-B6D8-4E3A-9E18-2F4B23FD7D46}"/>
    <hyperlink ref="B2425" r:id="rId2188" xr:uid="{F4DA9E53-14FF-4E55-B240-B3DF62D73C70}"/>
    <hyperlink ref="B2426" r:id="rId2189" xr:uid="{2A03B7FD-56D3-49FE-BDCF-D81FAE6D589A}"/>
    <hyperlink ref="B2428" r:id="rId2190" xr:uid="{B0040AEB-1131-45D4-8713-EE126144427E}"/>
    <hyperlink ref="B2429" r:id="rId2191" xr:uid="{3C8E663B-B2BB-4A0E-9330-F4DDB5B33FB2}"/>
    <hyperlink ref="B2430" r:id="rId2192" xr:uid="{B13AECED-B026-4630-AC13-A2BF4381E2AD}"/>
    <hyperlink ref="B2431" r:id="rId2193" xr:uid="{7E36D23E-1FE1-4A48-9A1F-E3C0BED6FE34}"/>
    <hyperlink ref="B2433" r:id="rId2194" xr:uid="{722046B6-77CC-4ECC-A1D0-29AE2CCC50D9}"/>
    <hyperlink ref="B2434" r:id="rId2195" xr:uid="{8052311B-D357-40CB-8451-94B6A625D970}"/>
    <hyperlink ref="B2435" r:id="rId2196" xr:uid="{7B69FB89-E93E-44A0-8362-E377847E47E1}"/>
    <hyperlink ref="B2436" r:id="rId2197" xr:uid="{9B7B3527-3BEA-4E09-92E6-C5BDFF890DF7}"/>
    <hyperlink ref="B2438" r:id="rId2198" xr:uid="{E3883748-5F8E-4C68-A102-612B97E6B637}"/>
    <hyperlink ref="B2439" r:id="rId2199" xr:uid="{3EF72F33-8639-484C-B0A9-C9CDA62A5D88}"/>
    <hyperlink ref="B2440" r:id="rId2200" xr:uid="{89A48CD5-3A45-4FC8-A6DC-C72149FBA7FF}"/>
    <hyperlink ref="B2441" r:id="rId2201" xr:uid="{E8E10171-6D1A-4C17-AFE6-7EB7C8C4D7B6}"/>
    <hyperlink ref="B2443" r:id="rId2202" xr:uid="{4496BA9E-818F-44E3-B3CB-48D98D77591F}"/>
    <hyperlink ref="B2444" r:id="rId2203" xr:uid="{5B4A7EEC-14C3-4DFE-A6EC-97D3913344FC}"/>
    <hyperlink ref="B2445" r:id="rId2204" xr:uid="{802EAE8E-C664-4B17-8935-C83278DF4A6F}"/>
    <hyperlink ref="B2446" r:id="rId2205" xr:uid="{08E7C676-AE27-4651-AE29-B56A213998ED}"/>
    <hyperlink ref="B2448" r:id="rId2206" xr:uid="{ECF7D572-35D7-454A-B12F-4C3507DB9D85}"/>
    <hyperlink ref="B2449" r:id="rId2207" xr:uid="{FD294D4E-8A2F-40D5-A764-1F81AC7BB4D6}"/>
    <hyperlink ref="B2450" r:id="rId2208" xr:uid="{CD673D8F-8312-49EE-B749-1C0F0CC0FD34}"/>
    <hyperlink ref="B2451" r:id="rId2209" xr:uid="{68EA6692-D0C6-45EC-A480-360CC7340F85}"/>
    <hyperlink ref="B2453" r:id="rId2210" xr:uid="{1DB1C4F5-F80F-4353-B395-2C249F8376E7}"/>
    <hyperlink ref="B2454" r:id="rId2211" xr:uid="{3BBF7356-18AA-4A6A-9172-C0874E1AE4C2}"/>
    <hyperlink ref="B2455" r:id="rId2212" xr:uid="{189A3528-4EC1-4973-AC3A-9E4F056EAE15}"/>
    <hyperlink ref="B2456" r:id="rId2213" xr:uid="{B6FB28AA-39B4-4823-ADF5-95C707F24C6E}"/>
    <hyperlink ref="B2458" r:id="rId2214" xr:uid="{5A995BEC-DEB6-475E-92BD-F062CEF46B97}"/>
    <hyperlink ref="B2459" r:id="rId2215" xr:uid="{5D3145F6-C039-4940-B82F-8ED63A37110C}"/>
    <hyperlink ref="B2460" r:id="rId2216" xr:uid="{72DDFE85-F7E9-47D7-82DA-D3CF7FF3095E}"/>
    <hyperlink ref="B2461" r:id="rId2217" xr:uid="{AF8350DB-9913-480E-9A0A-F0279261FFA1}"/>
    <hyperlink ref="B2463" r:id="rId2218" xr:uid="{10FDBD8C-E0B0-45C5-B132-A955A5503918}"/>
    <hyperlink ref="B2464" r:id="rId2219" xr:uid="{24C51E61-E216-4730-8962-725801380E5A}"/>
    <hyperlink ref="B2465" r:id="rId2220" xr:uid="{0144B295-D148-4473-A054-853DC5D2B90E}"/>
    <hyperlink ref="B2466" r:id="rId2221" xr:uid="{1E9D14B9-9F0A-49A6-B9A7-254A064BB46B}"/>
    <hyperlink ref="B2468" r:id="rId2222" xr:uid="{F342134A-E279-4885-A644-7AEC9CAD9EBA}"/>
    <hyperlink ref="B2469" r:id="rId2223" xr:uid="{A5CC5B05-B7B7-4F0A-9728-7F989868D631}"/>
    <hyperlink ref="B2470" r:id="rId2224" xr:uid="{92E1C307-D99E-4F6D-9A66-B68AF957C3D8}"/>
    <hyperlink ref="B2471" r:id="rId2225" xr:uid="{C1479296-75D6-4283-A05D-F16F3BD49495}"/>
    <hyperlink ref="B2473" r:id="rId2226" xr:uid="{35A28E46-9F54-4F36-B4A2-A0BFFAE124C4}"/>
    <hyperlink ref="B2474" r:id="rId2227" xr:uid="{F512A3A0-86AF-418E-B7AB-115249A88B41}"/>
    <hyperlink ref="B2475" r:id="rId2228" xr:uid="{60E7138A-1D40-4928-B5E2-5CF632EDCCB1}"/>
    <hyperlink ref="B2476" r:id="rId2229" xr:uid="{BADE6DA7-6E0A-441D-9569-66CFFC6FCB51}"/>
    <hyperlink ref="B2478" r:id="rId2230" xr:uid="{6B374D72-8649-485A-9BA5-9F3231E70ECE}"/>
    <hyperlink ref="B2479" r:id="rId2231" xr:uid="{9D5CC131-471B-489B-B7CB-EA18FC51DA53}"/>
    <hyperlink ref="B2480" r:id="rId2232" xr:uid="{7729A3BF-6348-4410-945B-619822B6B6CD}"/>
    <hyperlink ref="B2481" r:id="rId2233" xr:uid="{98B84EA8-FF53-48FF-8110-F951895A61EF}"/>
    <hyperlink ref="B2483" r:id="rId2234" xr:uid="{F1A02431-2038-4F75-B1CF-6054A1A5E863}"/>
    <hyperlink ref="B2484" r:id="rId2235" xr:uid="{4B06E649-B88C-4CFB-AFAE-BED598F78FC6}"/>
    <hyperlink ref="B2485" r:id="rId2236" xr:uid="{00F1C0FA-B260-45F5-972D-51B3A999C2B9}"/>
    <hyperlink ref="B2486" r:id="rId2237" xr:uid="{C4A857C9-6A30-4C6E-8B00-42ECB6E0FE53}"/>
    <hyperlink ref="B2488" r:id="rId2238" xr:uid="{30559141-89A4-44DA-A2C7-C7D33EA94B82}"/>
    <hyperlink ref="B2489" r:id="rId2239" xr:uid="{1E758338-9719-46DB-96D5-0861893C76CF}"/>
    <hyperlink ref="B2490" r:id="rId2240" xr:uid="{B7D0ED61-91E6-46CE-AB02-012BEA6B97D4}"/>
    <hyperlink ref="B2491" r:id="rId2241" xr:uid="{59EA649B-515B-4CE1-B476-990FA6A36A9C}"/>
    <hyperlink ref="B2493" r:id="rId2242" xr:uid="{845D393F-4E8C-4C1D-8DD0-91438DF5A3D7}"/>
    <hyperlink ref="B2494" r:id="rId2243" xr:uid="{AD4357D6-87B3-41E0-991D-C8F94DCEEF49}"/>
    <hyperlink ref="B2495" r:id="rId2244" xr:uid="{B69C8EE4-BFA2-4B77-ADAC-BD9DE7E71FC4}"/>
    <hyperlink ref="B2496" r:id="rId2245" xr:uid="{79558E38-81AC-4D13-B46F-7182117F5835}"/>
    <hyperlink ref="B2498" r:id="rId2246" xr:uid="{AF4CF1AE-9FBA-4DE0-8BFC-813A412B4DE0}"/>
    <hyperlink ref="B2499" r:id="rId2247" xr:uid="{01D0B568-8C52-4307-9BBA-8AC23D678C09}"/>
    <hyperlink ref="B2500" r:id="rId2248" xr:uid="{C3043644-81A0-4BEC-A1CF-E1EF92D9845C}"/>
    <hyperlink ref="B2501" r:id="rId2249" xr:uid="{1F639360-0F37-4B30-847E-C99C74575BF8}"/>
    <hyperlink ref="B2503" r:id="rId2250" xr:uid="{EC5DF338-B316-43D8-B57F-789388A510D3}"/>
    <hyperlink ref="B2504" r:id="rId2251" xr:uid="{BA67B89C-FD0A-41E8-A240-47ECC06A7823}"/>
    <hyperlink ref="B2505" r:id="rId2252" xr:uid="{C62E31E9-74C1-4313-B1D0-A6A50C8A4135}"/>
    <hyperlink ref="B2506" r:id="rId2253" xr:uid="{A2C9A850-3F8B-4B58-8362-C1A213152084}"/>
    <hyperlink ref="B2508" r:id="rId2254" xr:uid="{68F93843-DB58-4AA2-AA10-760AD96C3E1B}"/>
    <hyperlink ref="B2509" r:id="rId2255" xr:uid="{86AF02C4-7555-41D7-8164-2A444F62F2F2}"/>
    <hyperlink ref="B2510" r:id="rId2256" xr:uid="{BCEB4C4F-DBE2-4FC7-8B72-B8A39CA9A432}"/>
    <hyperlink ref="B2511" r:id="rId2257" xr:uid="{87BA9340-BB1C-4844-AE8D-17EB0F51C588}"/>
    <hyperlink ref="B2513" r:id="rId2258" xr:uid="{EB7880C4-5233-4718-990E-2B77D6381F9C}"/>
    <hyperlink ref="B2514" r:id="rId2259" xr:uid="{B1891947-AC1F-424F-8F25-C82C0A94CE1E}"/>
    <hyperlink ref="B2515" r:id="rId2260" xr:uid="{F1007857-D0AD-4DBD-AD1A-88428D663E43}"/>
    <hyperlink ref="B2516" r:id="rId2261" xr:uid="{022510DD-56EC-4C9A-85B4-FC29BFE6D2D0}"/>
    <hyperlink ref="B2518" r:id="rId2262" xr:uid="{452D7E9A-FB7A-4A05-BEF6-0AB67B62496F}"/>
    <hyperlink ref="B2519" r:id="rId2263" xr:uid="{63871349-9315-4BB0-A520-FF9453F4F343}"/>
    <hyperlink ref="B2520" r:id="rId2264" xr:uid="{7C8C111C-7A85-498A-8A6E-66BA287C0DA2}"/>
    <hyperlink ref="B2521" r:id="rId2265" xr:uid="{EA11EC8E-8EAC-48A7-BF6A-03BD7DC03CAC}"/>
    <hyperlink ref="B2523" r:id="rId2266" xr:uid="{794CB82F-A703-422B-88AC-FF1B6618426A}"/>
    <hyperlink ref="B2524" r:id="rId2267" xr:uid="{286BB27E-E313-4353-A995-58D440333B4F}"/>
    <hyperlink ref="B2525" r:id="rId2268" xr:uid="{70DC9A7C-E28E-4420-98CE-2917258F265B}"/>
    <hyperlink ref="B2526" r:id="rId2269" xr:uid="{4FF892F4-1D51-4546-819F-47790A04DF92}"/>
    <hyperlink ref="B2528" r:id="rId2270" xr:uid="{B7B9D4EF-926D-46DF-8EF9-2212A4026546}"/>
    <hyperlink ref="B2529" r:id="rId2271" xr:uid="{34688730-B9FA-46CF-B852-13CCE771172B}"/>
    <hyperlink ref="B2530" r:id="rId2272" xr:uid="{2B051CAF-747F-4595-9EF2-7CE5A57D7053}"/>
    <hyperlink ref="B2531" r:id="rId2273" xr:uid="{9475F0E6-B19C-4DFA-8CB4-597671B333BA}"/>
    <hyperlink ref="B2533" r:id="rId2274" xr:uid="{2CC61336-DFFC-41DC-9D74-DC33A6C71990}"/>
    <hyperlink ref="B2534" r:id="rId2275" xr:uid="{A2FCC740-B74C-45E6-8B7C-B6AA94E13725}"/>
    <hyperlink ref="B2535" r:id="rId2276" xr:uid="{E9638075-4D4D-48B4-BE62-E7C1405583B6}"/>
    <hyperlink ref="B2536" r:id="rId2277" xr:uid="{BE73586C-BF02-4A23-BB9D-4B0E459C0254}"/>
    <hyperlink ref="B2538" r:id="rId2278" xr:uid="{654DC8F1-AE29-46A7-B6CD-452EB6CC922F}"/>
    <hyperlink ref="B2539" r:id="rId2279" xr:uid="{598D8405-3EA2-417A-B9B6-913D639DC6A5}"/>
    <hyperlink ref="B2540" r:id="rId2280" xr:uid="{A6F5B908-764A-4782-91DA-6789793E210A}"/>
    <hyperlink ref="B2541" r:id="rId2281" xr:uid="{8D8C7B07-3FD2-47F5-BD86-33F3C946A527}"/>
    <hyperlink ref="B2543" r:id="rId2282" xr:uid="{43E4A3CE-FA17-4CF3-924D-64FB482877E6}"/>
    <hyperlink ref="B2544" r:id="rId2283" xr:uid="{ED34DACE-9D93-4555-8B15-67A2FAEE4E72}"/>
    <hyperlink ref="B2545" r:id="rId2284" xr:uid="{5906714E-73D2-4EB0-AA1F-6213581D37F5}"/>
    <hyperlink ref="B2546" r:id="rId2285" xr:uid="{48BFFA32-15AA-4263-9FFB-B419E09A5C55}"/>
    <hyperlink ref="B2548" r:id="rId2286" xr:uid="{A10F4C58-93BF-4534-89A3-691B63566954}"/>
    <hyperlink ref="B2549" r:id="rId2287" xr:uid="{5D174722-7782-4FED-A02A-3C44B2B5EDCA}"/>
    <hyperlink ref="B2550" r:id="rId2288" xr:uid="{24934FDE-CF31-4015-A9F8-036B5EE34105}"/>
    <hyperlink ref="B2551" r:id="rId2289" xr:uid="{E02051D2-D67E-4A26-A9CB-B615674927C9}"/>
    <hyperlink ref="B2553" r:id="rId2290" xr:uid="{DB0BFDAC-CB01-45E7-9017-484166A880A4}"/>
    <hyperlink ref="B2554" r:id="rId2291" xr:uid="{FDD6D853-67AD-429B-A212-657EBECB2279}"/>
    <hyperlink ref="B2555" r:id="rId2292" xr:uid="{62A10A47-DE7A-4F84-AE56-E407492E52DB}"/>
    <hyperlink ref="B2556" r:id="rId2293" xr:uid="{72FE7CD2-4ECB-4768-96C8-D6F254CC88EE}"/>
    <hyperlink ref="B2558" r:id="rId2294" xr:uid="{5C797BA5-F2EC-4F8E-A31C-812BF81F114B}"/>
    <hyperlink ref="B2559" r:id="rId2295" xr:uid="{B3A95EA6-7352-460A-8023-830FE452CF7A}"/>
    <hyperlink ref="B2560" r:id="rId2296" xr:uid="{A4C1826C-86E1-48E6-B78D-2CCE38837CE0}"/>
    <hyperlink ref="B2561" r:id="rId2297" xr:uid="{342D7039-B142-4072-B465-AEA0A3B0F7F2}"/>
    <hyperlink ref="B2563" r:id="rId2298" xr:uid="{6BF29106-F729-47CA-BF92-58B479C7AED9}"/>
    <hyperlink ref="B2564" r:id="rId2299" xr:uid="{9DD6D3B2-2004-4771-B633-C7EDB7440007}"/>
    <hyperlink ref="B2565" r:id="rId2300" xr:uid="{69DD77A2-18EC-494D-8F09-CB681AC9DE24}"/>
    <hyperlink ref="B2566" r:id="rId2301" xr:uid="{127CD92D-26CB-4E46-B155-6DBA0428EE0A}"/>
    <hyperlink ref="B2568" r:id="rId2302" xr:uid="{F03677F3-D5B2-4DC0-901A-5DC633E426A6}"/>
    <hyperlink ref="B2569" r:id="rId2303" xr:uid="{92689806-7666-419E-A989-67110502B354}"/>
    <hyperlink ref="B2570" r:id="rId2304" xr:uid="{E7F2AEBA-27AC-4E13-BADC-EA4C2EBFFD0F}"/>
    <hyperlink ref="B2571" r:id="rId2305" xr:uid="{2920A79D-3D55-47D9-9CC0-C0CC560AA015}"/>
    <hyperlink ref="B2573" r:id="rId2306" xr:uid="{DA50CC41-D357-42F3-AAEB-0DAD765FBC00}"/>
    <hyperlink ref="B2574" r:id="rId2307" xr:uid="{58683E7A-9921-4BF7-9261-DA9962A884C9}"/>
    <hyperlink ref="B2575" r:id="rId2308" xr:uid="{AFAA0D40-17CF-47EB-B111-38D32A254CC0}"/>
    <hyperlink ref="B2576" r:id="rId2309" xr:uid="{92CD55F0-758D-4418-B720-2C9149F661D7}"/>
    <hyperlink ref="B2578" r:id="rId2310" xr:uid="{F5486049-CBF1-4219-AC58-7931794B96C2}"/>
    <hyperlink ref="B2579" r:id="rId2311" xr:uid="{8A4F8DDB-559D-49BA-99BC-4A62D08F0F5B}"/>
    <hyperlink ref="B2580" r:id="rId2312" xr:uid="{11DF65B9-1AFF-4B9E-87AA-D13A11DDCFFF}"/>
    <hyperlink ref="B2581" r:id="rId2313" xr:uid="{D72A815C-3CC8-4E76-AD09-A8F065949212}"/>
    <hyperlink ref="B2583" r:id="rId2314" xr:uid="{0E2B2413-190B-4F29-A5AB-5B354B815A72}"/>
    <hyperlink ref="B2584" r:id="rId2315" xr:uid="{EC0395A6-3604-40CF-9B2F-6B2FAF8285F3}"/>
    <hyperlink ref="B2585" r:id="rId2316" xr:uid="{DA418851-E9D2-45E3-B39F-4A86A116CF9F}"/>
    <hyperlink ref="B2586" r:id="rId2317" xr:uid="{FE8F50B9-D497-4A7A-B431-477764CB186D}"/>
    <hyperlink ref="B2588" r:id="rId2318" xr:uid="{D46F5D7A-9B7C-461C-8FEF-A105C10B31D6}"/>
    <hyperlink ref="B2589" r:id="rId2319" xr:uid="{6526428C-AE99-49D2-95C9-9E87990335DB}"/>
    <hyperlink ref="B2590" r:id="rId2320" xr:uid="{C5D7FE6C-131C-469B-95D0-EBCE353F3DBB}"/>
    <hyperlink ref="B2591" r:id="rId2321" xr:uid="{F80D283F-87C2-48A0-9AB6-C68C9773E842}"/>
    <hyperlink ref="B2593" r:id="rId2322" xr:uid="{05494521-CA06-43FB-92D6-D3B4E191AA32}"/>
    <hyperlink ref="B2594" r:id="rId2323" xr:uid="{E9EF6E0A-57B9-49E2-AFD3-3DF6021AD65C}"/>
    <hyperlink ref="B2595" r:id="rId2324" xr:uid="{F31C56FA-2770-4D89-9A9D-98BF7AFFE049}"/>
    <hyperlink ref="B2596" r:id="rId2325" xr:uid="{B0466013-E747-4B83-B780-361EB9E84B42}"/>
    <hyperlink ref="B2598" r:id="rId2326" xr:uid="{0DE9AF60-42A7-427C-A7BF-6881663C7BA6}"/>
    <hyperlink ref="B2599" r:id="rId2327" xr:uid="{853F5F42-79EE-4FA2-BB45-98E7EE1606D5}"/>
    <hyperlink ref="B2600" r:id="rId2328" xr:uid="{C44817A7-F83B-4ED0-96C7-9F031707E407}"/>
    <hyperlink ref="B2601" r:id="rId2329" xr:uid="{D1C1B911-3AC0-4DB4-89FF-40E3BD7DEB0F}"/>
    <hyperlink ref="B2603" r:id="rId2330" xr:uid="{9907EAEB-4681-4C2A-A719-010CAD95AF82}"/>
    <hyperlink ref="B2604" r:id="rId2331" xr:uid="{F5B7F5DD-E00D-4E28-95F5-71EF0A48E291}"/>
    <hyperlink ref="B2605" r:id="rId2332" xr:uid="{5714BE08-EA37-4BB5-B1BC-B7A080063145}"/>
    <hyperlink ref="B2606" r:id="rId2333" xr:uid="{5ABE8E8E-B461-4B73-A47E-EF879FDCF9DF}"/>
    <hyperlink ref="B2608" r:id="rId2334" xr:uid="{6AD4A166-120C-4E1E-B7CD-875CA3D58F14}"/>
    <hyperlink ref="B2609" r:id="rId2335" xr:uid="{921A9B04-46F7-4D69-80EA-7B6228B73AAC}"/>
    <hyperlink ref="B2610" r:id="rId2336" xr:uid="{D41CD801-18D0-4708-964E-961536754B25}"/>
    <hyperlink ref="B2611" r:id="rId2337" xr:uid="{5A472B28-42E7-43E3-B0C0-CB32C69B9CF8}"/>
    <hyperlink ref="B2613" r:id="rId2338" xr:uid="{E12B9173-BC56-4270-B4DB-2E6255A89D55}"/>
    <hyperlink ref="B2614" r:id="rId2339" xr:uid="{B66D2EBD-36EF-413B-B529-EC4E586B4286}"/>
    <hyperlink ref="B2615" r:id="rId2340" xr:uid="{1EBE7599-DB00-40B9-8F14-628162E2F4F9}"/>
    <hyperlink ref="B2616" r:id="rId2341" xr:uid="{6DBA92CE-86D0-4E66-A4E5-A973BB10CEEE}"/>
    <hyperlink ref="B1076" r:id="rId2342" xr:uid="{1F313973-2F1A-4F6B-A34F-5E34A1504A85}"/>
    <hyperlink ref="B1075" r:id="rId2343" xr:uid="{5A4ED856-D2E5-4015-82FC-F02A3BE4EDDA}"/>
    <hyperlink ref="B1074" r:id="rId2344" xr:uid="{780519C9-5CCA-4DC1-B54E-810D5F9CA077}"/>
    <hyperlink ref="B1073" r:id="rId2345" xr:uid="{538AF887-7BB6-4B7A-8CC8-F6BDDAF91ADD}"/>
    <hyperlink ref="B1072" r:id="rId2346" xr:uid="{FB9C95A3-F6BF-40BA-AB8B-7CC7C755B5BC}"/>
    <hyperlink ref="B1062" r:id="rId2347" xr:uid="{1F4B0E7E-7FFF-466E-A6A2-F0EB80EF1D60}"/>
    <hyperlink ref="B1063" r:id="rId2348" xr:uid="{31EA70E0-3A13-435A-AACA-C27D294629CA}"/>
    <hyperlink ref="B1064" r:id="rId2349" xr:uid="{EAA918D9-271C-42E8-9E97-B92C00FCF40E}"/>
    <hyperlink ref="B1065" r:id="rId2350" xr:uid="{1CF7D2E4-214E-414D-9C23-7B02F7AA3FCA}"/>
    <hyperlink ref="B1066" r:id="rId2351" xr:uid="{40CF0E33-BC29-48B4-8447-D4123868FD4D}"/>
    <hyperlink ref="B2112" r:id="rId2352" xr:uid="{65EE89C9-D608-4153-88C4-2753192162DC}"/>
    <hyperlink ref="B2113" r:id="rId2353" xr:uid="{C7D4D98B-4638-40B2-A395-8E58F22713A7}"/>
    <hyperlink ref="B2114" r:id="rId2354" xr:uid="{B6646AF9-7BE5-4E1F-9976-E7C906DC2A0A}"/>
    <hyperlink ref="B2115" r:id="rId2355" xr:uid="{2911206A-BF97-42C1-9FCD-273B66BEF33E}"/>
    <hyperlink ref="B2116" r:id="rId2356" xr:uid="{1AE3B046-32CC-461F-8E7D-7AB1D90FEAF0}"/>
    <hyperlink ref="B1638:B1641" r:id="rId2357" display="Link" xr:uid="{99FAE02C-3C2F-4452-BFF5-E2FB265DCDAC}"/>
  </hyperlinks>
  <pageMargins left="0.7" right="0.7" top="0.75" bottom="0.75" header="0.3" footer="0.3"/>
  <pageSetup paperSize="9" orientation="portrait" r:id="rId235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Traffic Domain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Jen Looi</dc:creator>
  <cp:lastModifiedBy>Sue Jen Looi</cp:lastModifiedBy>
  <dcterms:created xsi:type="dcterms:W3CDTF">2025-07-15T02:33:51Z</dcterms:created>
  <dcterms:modified xsi:type="dcterms:W3CDTF">2025-07-17T01:55:06Z</dcterms:modified>
</cp:coreProperties>
</file>